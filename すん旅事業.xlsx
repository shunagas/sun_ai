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目標・プラン" sheetId="1" r:id="rId5"/>
    <sheet state="visible" name="進捗早見表" sheetId="2" r:id="rId6"/>
    <sheet state="visible" name="noteネタ集" sheetId="3" r:id="rId7"/>
    <sheet state="visible" name="Youtubeネタ集" sheetId="4" r:id="rId8"/>
  </sheets>
  <definedNames>
    <definedName hidden="1" localSheetId="2" name="_xlnm._FilterDatabase">'noteネタ集'!$A$1:$E$100</definedName>
  </definedNames>
  <calcPr/>
</workbook>
</file>

<file path=xl/sharedStrings.xml><?xml version="1.0" encoding="utf-8"?>
<sst xmlns="http://schemas.openxmlformats.org/spreadsheetml/2006/main" count="406" uniqueCount="371">
  <si>
    <t>長尺タイトル</t>
  </si>
  <si>
    <t>タイトル</t>
  </si>
  <si>
    <t>投稿日</t>
  </si>
  <si>
    <t>【宿泊記】東京にこんなホテルが！？立川のソラノホテルへ</t>
  </si>
  <si>
    <t>有料記事</t>
  </si>
  <si>
    <t>自己紹介/初めてのnote/旅日記/独り言</t>
  </si>
  <si>
    <t>冒頭（コンセプト訴求）</t>
  </si>
  <si>
    <t>【日本初公開？】MSCワールドエウローパ テラス付きグランドスイートアウレアのキャビンツアー</t>
  </si>
  <si>
    <t>【完全版】MSCワールドエウローパ船内ツアー｜これ1本で船内の全てがわかる</t>
  </si>
  <si>
    <t>せっかく行くなら、最大限楽しみたい。</t>
  </si>
  <si>
    <t>【乗船日】知らないと損する乗船日の過ごし方｜MSCワールドエウローパ地中海クルーズ</t>
  </si>
  <si>
    <t>このチャンネルでは、旅の満足度を高めるための、旅行前の予習に役立つ情報をお届けしています。</t>
  </si>
  <si>
    <t>【マルセイユ完全攻略】港からのアクセスと絶景を効率よく楽しむ｜地中海クルーズ寄港地</t>
  </si>
  <si>
    <t>【2025年版】日本のラグジュアリーホテルフォーブス星ランキングまとめ</t>
  </si>
  <si>
    <t>【ジェノヴァ完全攻略】港から徒歩・公共バスで巡る世界遺産｜地中海クルーズ寄港地</t>
  </si>
  <si>
    <t>最後（CTA）</t>
  </si>
  <si>
    <t>【ナポリ完全攻略】カオスな街と絶景のギャップ｜「ナポリを見てから◯ね」と称される絶景＆本場ナポリピザ｜地中海クルーズ寄港地</t>
  </si>
  <si>
    <t>【旅行計画①】サバンナのフォーシーズンズでラグジュアリーなサファリ体験</t>
  </si>
  <si>
    <t>【メッシーナ完全攻略】電車で行く「シチリア島の真珠」タオルミーナ日帰り観光｜地中海クルーズ寄港地</t>
  </si>
  <si>
    <t>MSC World Europa地中海クルーズ 0.1 〜計画編〜：出航前のスペイン</t>
  </si>
  <si>
    <t>この動画が参考になったと思ったら、高評価をお願いします。</t>
  </si>
  <si>
    <t>【ヴァレッタ完全攻略】マルタ騎士団が築いた世界遺産の要塞都市｜地中海クルーズ寄港地</t>
  </si>
  <si>
    <t>元リッツ従業員が語るリッツとリッツ・カールトンの関係と歴史：世界最高のホテル</t>
  </si>
  <si>
    <t>これからも、旅行を最大限楽しむための役立つ情報や知識を発信していきます。</t>
  </si>
  <si>
    <t>【下船日】バルセロナ下船後、1日でサグラダ・ファミリアを堪能する｜MSCワールドエウローパ</t>
  </si>
  <si>
    <t>【宿泊前の深掘り】マンダリンオリエンタル・リッツ・マドリードの歴史と背景</t>
  </si>
  <si>
    <t>次の旅を最大限楽しみたい方は、ぜひチャンネル登録をお願いします。</t>
  </si>
  <si>
    <t>【バルセロナ旅行前必見】サグラダ・ファミリア、これ一本で全てわかります</t>
  </si>
  <si>
    <t>【写真多数】ウォルドーフ・アストリア大阪宿泊記①ブランド紹介〜エントランス編</t>
  </si>
  <si>
    <t>【羽田空港】AMEXセンチュリオンラウンジを徹底紹介｜食事・バー・シャワーを体験</t>
  </si>
  <si>
    <t>投稿内容の決め方</t>
  </si>
  <si>
    <t>【写真多数】ウォルドーフ・アストリア大阪宿泊記②チェックイン編</t>
  </si>
  <si>
    <t>【徹底比較】香港空港のラウンジを4軒巡って、一番おすすめの使い方を紹介します</t>
  </si>
  <si>
    <t>【写真多数】ウォルドーフ・アストリア大阪宿泊記③ピーコックアレー編</t>
  </si>
  <si>
    <t>【香港国際空港】AMEXセンチュリオンラウンジを徹底紹介｜羽田と比較して分かった違い</t>
  </si>
  <si>
    <t>【キャセイパシフィック航空】世界No.1のエコノミークラスで行くバルセロナ｜羽田→香港(B777-300ER)・香港→バルセロナ(A350-900)</t>
  </si>
  <si>
    <t>【写真多数】ウォルドーフ・アストリア大阪宿泊記④スイートルームツアー編</t>
  </si>
  <si>
    <t>【バルセロナ街歩き】街の空気と食を楽しむ半日観光｜旧市街・カタルーニャ音楽堂・ボケリア市場・ZARA</t>
  </si>
  <si>
    <t>【写真多数】ウォルドーフ・アストリア大阪宿泊記⑤館内施設とレストラン編</t>
  </si>
  <si>
    <t>純粋に行きたいところに行く。これは前提</t>
  </si>
  <si>
    <t>【写真多数】ウォルドーフ・アストリア大阪宿泊記⑥ナイトタイム編</t>
  </si>
  <si>
    <t>投稿予定</t>
  </si>
  <si>
    <t>【写真多数】ウォルドーフ・アストリア大阪宿泊記⑦モーニング編</t>
  </si>
  <si>
    <t>投稿予定日</t>
  </si>
  <si>
    <t>【悪用厳禁】ゴールド会員でもスイートに！ウォルドーフアストリア大阪で起きた神対応の背景と考察</t>
  </si>
  <si>
    <t>イベント</t>
  </si>
  <si>
    <t>YouTube進捗早見表</t>
  </si>
  <si>
    <t>実際にそれで予習するためにYouTube見たけど、いい動画がないな→チャンスあり</t>
  </si>
  <si>
    <t>◯</t>
  </si>
  <si>
    <t>ガウディ建築巡り　グエル、ビセンス、バトリョ、ミラ</t>
  </si>
  <si>
    <t>私みたいに生きたいと思う人はいるのにまともな情報や新しい情報がない</t>
  </si>
  <si>
    <t>すん旅 事業プラン</t>
  </si>
  <si>
    <t>マドリード一日観光</t>
  </si>
  <si>
    <t>【2025年完全版】日本の高級ホテルブランド格付けランキング</t>
  </si>
  <si>
    <t>持論　顔出ししてうまく行く人は本当に一部だけ</t>
  </si>
  <si>
    <t>リッツマドリード宿泊</t>
  </si>
  <si>
    <t>【考察】JWマリオット東京の価格は妥当か？ブランドから読み解く</t>
  </si>
  <si>
    <t>トレド観光とマドリードオープン　フレックスシェラトン　明日はバルセロナへ（クルーズの話はしない）</t>
  </si>
  <si>
    <t>【旅行計画②】サントリーニの夕日とAmanzoeで魂を癒す叙事詩</t>
  </si>
  <si>
    <t>ショートタイトル</t>
  </si>
  <si>
    <t>8月末アナリティクス</t>
  </si>
  <si>
    <t>【旅行計画③】ウォルドーフ・アストリアでひたすらにあの頃の海を眺める</t>
  </si>
  <si>
    <t>【2025年完全版】クルーズ船格付けランキング</t>
  </si>
  <si>
    <t>帰国日　朝サグラダおすすめ　空港　キャセイA350-900　香港6時間観光</t>
  </si>
  <si>
    <t>【2025年完全版】マイラー必見！国際航空アライアンスまとめ</t>
  </si>
  <si>
    <t>この船に10室しかない角部屋</t>
  </si>
  <si>
    <t>【完全版】海外旅行保険の仕組みと補償額の最大化戦略</t>
  </si>
  <si>
    <t>金沢帰省　北陸新幹線と金沢駅　レオン感情フック</t>
  </si>
  <si>
    <t>【2025年完全版】海外旅行好きにおすすめの旅行スタイル別クレジットカード13選</t>
  </si>
  <si>
    <t>セントレジス宿泊、大阪顔合わせ</t>
  </si>
  <si>
    <t>旅行の記録ではなく、旅行の判断材料を提供してフォロワーの助けになること</t>
  </si>
  <si>
    <t>これ、本当に船の中です。</t>
  </si>
  <si>
    <t>【宿泊記】リッツ・カールトン ランカウイ-マレーの森に佇む至福のリトリート-</t>
  </si>
  <si>
    <t>帰省したら食べたくなる金沢飯</t>
  </si>
  <si>
    <t>【宿泊記】ウェスティン ランカウイ-水上レストランkayuputiと癒しのheavenly spa-</t>
  </si>
  <si>
    <t>ターゲット</t>
  </si>
  <si>
    <t>この船、遊び場の規模が違う。｜MSCワールドエウローパ</t>
  </si>
  <si>
    <t>【正直レビュー】国内の全リッツ・カールトンホテルランキング</t>
  </si>
  <si>
    <t>セントレジス大阪宿泊</t>
  </si>
  <si>
    <t>【写真多数】パークハイアット ニセコHANAZONO宿泊記①ブランド紹介〜チェックイン編</t>
  </si>
  <si>
    <t>旅行を計画している人</t>
  </si>
  <si>
    <t>知らないと損する船内グルメ情報｜MSCワールドエウローパ</t>
  </si>
  <si>
    <t>【写真多数】パークハイアット ニセコHANAZONO宿泊記②ランチ編</t>
  </si>
  <si>
    <t>長期目標（10年）</t>
  </si>
  <si>
    <t>旅行関連の事業を立ち上げる</t>
  </si>
  <si>
    <t>【写真多数】パークハイアット ニセコHANAZONO宿泊記③ルーム編</t>
  </si>
  <si>
    <t>大阪おすすめホテルランキング</t>
  </si>
  <si>
    <t>予約前に失敗したくない人</t>
  </si>
  <si>
    <t>【写真多数】パークハイアット ニセコHANAZONO宿泊記④館内施設編</t>
  </si>
  <si>
    <t xml:space="preserve">この船、夜になると別世界です。｜MSCワールドエウローパ </t>
  </si>
  <si>
    <t>中期目標（5年）</t>
  </si>
  <si>
    <t>【写真多数】パークハイアット ニセコHANAZONO宿泊記⑤ディナー編</t>
  </si>
  <si>
    <t>月10万円の副収入を得る</t>
  </si>
  <si>
    <t>東北グランクラス　盛岡冷麺</t>
  </si>
  <si>
    <t>【写真多数】パークハイアット ニセコHANAZONO宿泊記⑥モーニング編</t>
  </si>
  <si>
    <t>限られた予算と時間で最良の選択をしたい人</t>
  </si>
  <si>
    <t>ここ、巨大客船の屋上です。｜MSCワールドエウローパ</t>
  </si>
  <si>
    <t>【宿泊記】ヒルトンニセコヴィレッジ -野生の動物たちに招かれるニセコの大地-</t>
  </si>
  <si>
    <t>短期目標（3年）</t>
  </si>
  <si>
    <t>月3万円の副収入を得る</t>
  </si>
  <si>
    <t>雫石プリンスホテルと小岩井農場</t>
  </si>
  <si>
    <t>【ニセコ旅行記】旅の最後は東山ニセコヴィレッジ リッツ・カールトン・リザーブで</t>
  </si>
  <si>
    <t>旅行前に徹底的に情報収集する人</t>
  </si>
  <si>
    <t>この船、夜も退屈しません。｜MSCワールドエウローパ</t>
  </si>
  <si>
    <t>直近目標（2年）</t>
  </si>
  <si>
    <t>【感謝】独り言のつもりが、半年間でいつの間にか3万人が読んでくれてた話</t>
  </si>
  <si>
    <t>月1万円の副収入を得る</t>
  </si>
  <si>
    <t>平泉散策と仙台牛タン　帰路</t>
  </si>
  <si>
    <t>2027年中に開業届</t>
  </si>
  <si>
    <t>【計画全公開】2026年GWスペイン＆地中海クルーズの旅程と費用を全て出してみた</t>
  </si>
  <si>
    <t>乗船日の流れ、知らないと損します。｜MSCワールドエウローパ</t>
  </si>
  <si>
    <t>2027年1月から経費計上する</t>
  </si>
  <si>
    <t>ホテルブランドを車メーカーに例えてみた</t>
  </si>
  <si>
    <t>【完全版】MSCクルーズのボヤジャーズクラブで簡単にゴールドステータスになる方法</t>
  </si>
  <si>
    <t>年間目標（〜2027/5）</t>
  </si>
  <si>
    <t>この船からの景色、やばいです。｜MSCワールドエウローパ</t>
  </si>
  <si>
    <t>noteで毎月売上をあげる、Youtubeを収益化する（チャンネル登録者：1,000人、年間再生時間：8,000時間）</t>
  </si>
  <si>
    <t>【正直レビュー】大阪ラグジュアリーホテル格付けランキングTOP5</t>
  </si>
  <si>
    <t>ホテルブランドを時計ブランドに例えてみた</t>
  </si>
  <si>
    <t>金沢帰省</t>
  </si>
  <si>
    <t>【宿泊記】HOTEL THE MITSUI KYOTO -原点にして頂点-</t>
  </si>
  <si>
    <t>この船、海を見ながら整えます。｜MSCワールドエウローパ</t>
  </si>
  <si>
    <t>日本のリッツカールトンランキング</t>
  </si>
  <si>
    <t>【暗号解読】死ぬまでに必ず行きたい世界のホテルTOP5</t>
  </si>
  <si>
    <t>一度訪れたら忘れられない街🇫🇷 地中海の港町マルセイユ｜MSCクルーズ</t>
  </si>
  <si>
    <t>冬の金沢帰省</t>
  </si>
  <si>
    <t>【旅行前に】サグラダ・ファミリアを100倍楽しむための、未完のノート</t>
  </si>
  <si>
    <t>地中海貿易で栄えた世界遺産の港町🇮🇹 ジェノヴァ｜MSCクルーズ</t>
  </si>
  <si>
    <t>項目</t>
  </si>
  <si>
    <t>【旅行前に】サグラダ・ファミリア予習ページ①石の聖書編 〜彫刻が語るもの〜</t>
  </si>
  <si>
    <t xml:space="preserve">2027年の特典航空券旅行公開　2月デルタマイル　7月ANAマイル　</t>
  </si>
  <si>
    <t>【ナポリ半日観光】外せないスポット6選🇮🇹|MSCクルーズ寄港地</t>
  </si>
  <si>
    <t>2027/2/1まで</t>
  </si>
  <si>
    <t>【旅行前に】サグラダ・ファミリア予習ページ③ガウディの生涯編 〜カタルーニャが生んだ奇才〜</t>
  </si>
  <si>
    <t>クルーズ船格付けランキング</t>
  </si>
  <si>
    <t>【旅行前に】サグラダ・ファミリア予習ページ②聖堂の構造編 〜自然が語るもの〜</t>
  </si>
  <si>
    <t>シチリア島の真珠と呼ばれる街、タオルミーナ🇮🇹 #mscworldeuropa</t>
  </si>
  <si>
    <t>【旅行前に】サグラダ・ファミリア予習ページ④ガウディの思想編 〜機能は象徴〜</t>
  </si>
  <si>
    <t>KPI</t>
  </si>
  <si>
    <t>ホテルザミツイハコネ宿泊</t>
  </si>
  <si>
    <t>【旅行前に】サグラダ・ファミリア予習ページ⑤スペイン内戦編 〜消えた設計図〜</t>
  </si>
  <si>
    <t>【マルタ】世界遺産ヴァレッタの絶景｜地中海に浮かぶ要塞都市🇲🇹 #mscworldeuropa</t>
  </si>
  <si>
    <t>【旅行前に】サグラダ・ファミリア予習ページ⑥音の聖堂編 〜楽器の奏でるもの〜</t>
  </si>
  <si>
    <t>クルーズ下船後、バルセロナを1日観光🇪🇸 #mscworldeuropa</t>
  </si>
  <si>
    <t>【旅行前に】サグラダ・ファミリア予習ページ⑦光の聖堂編 〜空からの十字架〜</t>
  </si>
  <si>
    <t>2027年フォーブス星まとめ</t>
  </si>
  <si>
    <t>【旅行前に】プラド美術館の絵画を100倍楽しむための、予習ノート</t>
  </si>
  <si>
    <t>デルタスカイクラブラウンジ</t>
  </si>
  <si>
    <t>累計・平均</t>
  </si>
  <si>
    <t>プラド美術館と「信仰」――宗教画がつくったスペインの精神</t>
  </si>
  <si>
    <t>大韓航空ビジネスクラスB787-10搭乗、韓国2泊3日</t>
  </si>
  <si>
    <t>プラド美術館と「権力」――肖像画が描いた王という制度</t>
  </si>
  <si>
    <t>センチュリオンラウンジ朝</t>
  </si>
  <si>
    <t>2026.5.31</t>
  </si>
  <si>
    <t>プラド美術館と「正統性」――神話と歴史が王権を支えた理由</t>
  </si>
  <si>
    <t>大韓航空ビジネスクラスB787-10搭乗</t>
  </si>
  <si>
    <t>2026.6.30</t>
  </si>
  <si>
    <t>ソウル一人旅</t>
  </si>
  <si>
    <t>プラド美術館とゴヤ――王権美術が終わるとき</t>
  </si>
  <si>
    <t>2026.07.31</t>
  </si>
  <si>
    <t>【解説と考察】マリオットから誕生日ギフトカードをいただいた話</t>
  </si>
  <si>
    <t>ソウル一人旅②</t>
  </si>
  <si>
    <t>2026.08.31</t>
  </si>
  <si>
    <t>9月単月目標</t>
  </si>
  <si>
    <t>ZIPAIRフルフラットシート</t>
  </si>
  <si>
    <t>【誕生日ギフト利用】300円で叶った、JW東京＆リッツ東京のひとりティータイム</t>
  </si>
  <si>
    <t>目標（2026年末）</t>
  </si>
  <si>
    <t>10月単月目標</t>
  </si>
  <si>
    <t>11月単月目標</t>
  </si>
  <si>
    <t>国際航空アライアンスまとめ</t>
  </si>
  <si>
    <t>12月単月目標</t>
  </si>
  <si>
    <t>【2026年版】日本のラグジュアリーホテルフォーブス星ランキングまとめ</t>
  </si>
  <si>
    <t>高級ホテル格付けランキング</t>
  </si>
  <si>
    <t>2026.6.11（目標設定時）</t>
  </si>
  <si>
    <t>【初心者必見】クルーズのカジノで負けないための数学的ルール</t>
  </si>
  <si>
    <t>長尺視聴回数</t>
  </si>
  <si>
    <t>2026.9.2（目標更新時）</t>
  </si>
  <si>
    <t>【クルーズ前必読】ブラックジャックで期待値99.5%を目指す基本戦略</t>
  </si>
  <si>
    <t>バリ島旅行</t>
  </si>
  <si>
    <t>【計画編】地中海クルーズ寄港地ランキングTOP6〜時間が足りなすぎる旅〜</t>
  </si>
  <si>
    <t>センチュリオンラウンジ夜</t>
  </si>
  <si>
    <t>YouTubeパートナープログラム</t>
  </si>
  <si>
    <t>【初心者向け】初めての地中海クルーズ｜船とルート選びで迷った私の決め方</t>
  </si>
  <si>
    <t>シンガポール航空A350-900、B781</t>
  </si>
  <si>
    <t>【ソースコード公開】ブラックジャック期待値シミュレーターの裏側</t>
  </si>
  <si>
    <t>シンガポール空港PPラウンジ巡り</t>
  </si>
  <si>
    <t>YouTube長尺動画数</t>
  </si>
  <si>
    <t>バリ島①</t>
  </si>
  <si>
    <t>【検証】ブラックジャックの期待値99.5%は本当か？LINEでシミュレーションしてみた</t>
  </si>
  <si>
    <t>バリ島②</t>
  </si>
  <si>
    <t>バルセロナからメッシーナへ 500年前と重なる地中海の航路 ─ドン・フアン・デ・アウストリアの物語</t>
  </si>
  <si>
    <t>バリ島③</t>
  </si>
  <si>
    <t>【旅行前に】サグラダ・ファミリア予習ページ⑧ 未完の聖堂編 〜ガウディの美学〜</t>
  </si>
  <si>
    <t>20本→30本</t>
  </si>
  <si>
    <t>アプルヴァケンピンスキー宿泊</t>
  </si>
  <si>
    <t>UMANA BALI宿泊</t>
  </si>
  <si>
    <t>長尺3本</t>
  </si>
  <si>
    <t>シンガポール航空B781</t>
  </si>
  <si>
    <t>ジュラシックワールドガーデンズバイザベイ</t>
  </si>
  <si>
    <t>ANAビジネスクラス旅行</t>
  </si>
  <si>
    <t>【宿泊記】SORANO HOTEL -都会の喧騒から完全脱出できるオアシス-</t>
  </si>
  <si>
    <t>羽田T3 ANAラウンジ</t>
  </si>
  <si>
    <t>長尺11本</t>
  </si>
  <si>
    <t>ANA B789ビジネスクラス</t>
  </si>
  <si>
    <t>ジャカルタ空港　ガルーダラウンジ　シンガポール航空特設スペース</t>
  </si>
  <si>
    <t>長尺動画数</t>
  </si>
  <si>
    <t>メンバーシップ投げ銭機能有効化条件</t>
  </si>
  <si>
    <t>シンガポール航空 B777-300ER　ビジネスクラス</t>
  </si>
  <si>
    <t>【旅行計画④】リッツ・マドリードで過ごす一夜限りの貴族時間</t>
  </si>
  <si>
    <t>チャンギ空港 シンガポール航空ラウンジ二つ</t>
  </si>
  <si>
    <t>【完全版】ラグジュアリーホテル5タイプ適正診断｜後悔する人の共通点</t>
  </si>
  <si>
    <t>YouTubeチャンネル登録者</t>
  </si>
  <si>
    <t>シンガポール航空 A350-900 ビジネスクラス</t>
  </si>
  <si>
    <t>【宿泊記】マンダリン・オリエンタル リッツ マドリード -芸術の三角地帯に立つ116年前の邸宅-</t>
  </si>
  <si>
    <t>バンコク旅行</t>
  </si>
  <si>
    <t>A:500人　B:300人</t>
  </si>
  <si>
    <t>【グルメ体験記】マドリードの名門ホテルで人生初のミシュラン二つ星を堪能</t>
  </si>
  <si>
    <t>バンコクホテル</t>
  </si>
  <si>
    <t>【2026年実体験】 MSC World Europa 地中海クルーズ完全ガイド</t>
  </si>
  <si>
    <t>5人</t>
  </si>
  <si>
    <t>バンコク空港　ラウンジ巡り ロイヤルオーキッド</t>
  </si>
  <si>
    <t>【2026年完全版】MSC World Europaテラス付きグランドスイートアウレアの部屋と特典を公開</t>
  </si>
  <si>
    <t>97人</t>
  </si>
  <si>
    <t>エバー航空 B781　ビジネスクラス</t>
  </si>
  <si>
    <t>【テニス観戦】東京で観たATP500とマドリードで観たATP1000は別のスポーツに感じた</t>
  </si>
  <si>
    <t>エバー航空 B789　ビジネスクラス</t>
  </si>
  <si>
    <t>１.チャンネル登録者500人</t>
  </si>
  <si>
    <t>【2026年実体験】バルセロナ完全ガイド｜モデルコース・観光・交通・グルメ・費用まとめ</t>
  </si>
  <si>
    <t>台湾桃園空港　エバーラウンジ</t>
  </si>
  <si>
    <t>【2026年実体験】マドリード観光は5時間でも楽しめる？実際に回った弾丸ルートを公開</t>
  </si>
  <si>
    <t>【2026年実体験】MSCボヤジャーズクラブ ゴールド特典は価値ある？初クルーズで検証</t>
  </si>
  <si>
    <t>【グルメ体験記】マルセイユのTuba Clubで透き通る青い地中海を見ながらランチ</t>
  </si>
  <si>
    <t>ギリシャハネムーン</t>
  </si>
  <si>
    <t>【2026年実体験】マルセイユ寄港地完全ガイド｜半日モデルコースと移動方法</t>
  </si>
  <si>
    <t>Amanzoe</t>
  </si>
  <si>
    <t>YouTube視聴時間</t>
  </si>
  <si>
    <t>サントリーニ島</t>
  </si>
  <si>
    <t>【2026年実体験】ジェノヴァ寄港地完全ガイド｜半日モデルコースとグルメ紹介</t>
  </si>
  <si>
    <t>アテネ</t>
  </si>
  <si>
    <t>未設定→A:4,000時間　B:2,400時間</t>
  </si>
  <si>
    <t>37.1時間</t>
  </si>
  <si>
    <t>679.9時間</t>
  </si>
  <si>
    <t>【2026年実体験】ナポリ寄港地完全ガイド｜半日モデルコースと穴場ピザを紹介</t>
  </si>
  <si>
    <t>試験勉強集中期間</t>
  </si>
  <si>
    <t>長尺総再生時間</t>
  </si>
  <si>
    <t>【2026年実体験】メッシーナ寄港地完全ガイド｜タオルミーナ半日モデルコース紹介</t>
  </si>
  <si>
    <t xml:space="preserve">２.過去1年間の長尺総再生時間 3,000時間 </t>
  </si>
  <si>
    <t>【2026年実体験】ヴァレッタ寄港地完全ガイド｜半日モデルコースと電波のない旧市街</t>
  </si>
  <si>
    <t>【2026年完全版】日本の高級ホテルブランド格付けランキング</t>
  </si>
  <si>
    <t>YouTube長尺再生数</t>
  </si>
  <si>
    <t>未設定→A:50,000回　B:30,000回</t>
  </si>
  <si>
    <t>SC試験（A試験）</t>
  </si>
  <si>
    <t>580回</t>
  </si>
  <si>
    <t>【正直レビュー】AMEXセンチュリオンラウンジ羽田を2時間利用してみた感想｜食事・バー・シャワーを徹底解説</t>
  </si>
  <si>
    <t>【正直レビュー】AMEXセンチュリオンラウンジ香港を1時間利用してみた感想｜食事・バー・シャワーを徹底解説</t>
  </si>
  <si>
    <t>平均視聴時間</t>
  </si>
  <si>
    <t>7975回</t>
  </si>
  <si>
    <t>【正直レビュー】香港空港のカードラウンジTOP4｜食事・バー・シャワー解説付き</t>
  </si>
  <si>
    <t>【2026年最新版】今後開業する東京のラグジュアリーホテルまとめ</t>
  </si>
  <si>
    <t>【正直レビュー】東京駅ビューゴールドラウンジを1時間利用してみた感想｜サービス内容・雰囲気を徹底解説</t>
  </si>
  <si>
    <t>【感謝】noteを本格的に始めて1年。いつも読んでくださり、本当にありがとうございます</t>
  </si>
  <si>
    <t>【正直レビュー】東北新幹線はやぶさの食事付きグランクラスを初めて利用してみた｜サービス・軽食・雰囲気を徹底解説</t>
  </si>
  <si>
    <t>note記事数</t>
  </si>
  <si>
    <t>【2026年完全版】ヒルトンアメックスの無料宿泊特典はどこで使うべき？本気で厳選したホテル16選</t>
  </si>
  <si>
    <t>【2026年完全版】ヒルトンアメックスの無料宿泊特典で2連泊におすすめ超高級ホテル4選</t>
  </si>
  <si>
    <t>100本→100本</t>
  </si>
  <si>
    <t>カラヴァッジョ『洗礼者ヨハネの斬首』とは？見る前に知っておきたい聖書の物語</t>
  </si>
  <si>
    <t>【マイル戦略】ANAでもJALでもない。最高級ビジネスクラスを目指して私が選んだマイル</t>
  </si>
  <si>
    <t>81本</t>
  </si>
  <si>
    <t>【正直レビュー】センチュリオンラウンジ、羽田と香港どっちがいい？徹底比較｜食事・バー・シャワーで損得ジャッジ</t>
  </si>
  <si>
    <t>【保存版】MSCワールドエウローパ乗船前に知っておきたい50のこと｜予習して役立ったこと＆後悔したことをすべて公開</t>
  </si>
  <si>
    <t>92本</t>
  </si>
  <si>
    <t>【感謝】YouTube登録者100人を超えました｜遠い道のりと、これから目指す景色</t>
  </si>
  <si>
    <t>広告収益有効化条件</t>
  </si>
  <si>
    <t>【2026年最新版】世界のセンチュリオンラウンジ31軒を全部並べてみた｜今使える空港・まだ使えない空港はどこ？</t>
  </si>
  <si>
    <t>noteフォロワー</t>
  </si>
  <si>
    <t>SC試験（B試験）</t>
  </si>
  <si>
    <t>【2026年最新】スカイトラックス・ワールド・エアライン・アワード発表</t>
  </si>
  <si>
    <t>200人→300人</t>
  </si>
  <si>
    <t>ギリシャVlog1時間</t>
  </si>
  <si>
    <t>インプレッション数</t>
  </si>
  <si>
    <t>103人</t>
  </si>
  <si>
    <t>192人</t>
  </si>
  <si>
    <t>セーシェル旅行</t>
  </si>
  <si>
    <t>実際にスペイン＆クルーズでいくらかかったか、計画予算全て見せます</t>
  </si>
  <si>
    <t>クリック率(%)</t>
  </si>
  <si>
    <t>１.チャンネル登録者　1,000人</t>
  </si>
  <si>
    <t>note売上</t>
  </si>
  <si>
    <t>ヒルトンアメックスの無料宿泊特典、それぞれの1泊あたり実質還元率を全部計算してランキングにした</t>
  </si>
  <si>
    <t>高級ホテルブランド格付け、採点シートの中身を全部見せます」</t>
  </si>
  <si>
    <t>未設定→10,000円</t>
  </si>
  <si>
    <t>チャンネル登録者</t>
  </si>
  <si>
    <t>1,940円</t>
  </si>
  <si>
    <t>4,560円</t>
  </si>
  <si>
    <t>チャンネル登録率(%)</t>
  </si>
  <si>
    <t xml:space="preserve">２.過去1年間の長尺総再生時間 4,000時間 </t>
  </si>
  <si>
    <t>LINE友達</t>
  </si>
  <si>
    <t>15人→20人</t>
  </si>
  <si>
    <t>11人</t>
  </si>
  <si>
    <t>16人</t>
  </si>
  <si>
    <t>↓</t>
  </si>
  <si>
    <t xml:space="preserve">２.過去1年間の長尺総再生時間 8,000時間 </t>
  </si>
  <si>
    <t>施策</t>
  </si>
  <si>
    <t>状態</t>
  </si>
  <si>
    <t>note進捗早見表</t>
  </si>
  <si>
    <t>備考</t>
  </si>
  <si>
    <t>Column 4</t>
  </si>
  <si>
    <t>累計</t>
  </si>
  <si>
    <t>~2025.12.31</t>
  </si>
  <si>
    <t>2026年合計</t>
  </si>
  <si>
    <t>2026.1.31</t>
  </si>
  <si>
    <t>2026.2.28</t>
  </si>
  <si>
    <t>①LINEボット</t>
  </si>
  <si>
    <t>2026.3.31</t>
  </si>
  <si>
    <t>2026.4.30</t>
  </si>
  <si>
    <t>完了</t>
  </si>
  <si>
    <t>月間PV</t>
  </si>
  <si>
    <t>2025/10実装</t>
  </si>
  <si>
    <t>②Amazonアソシエイト</t>
  </si>
  <si>
    <t>未達</t>
  </si>
  <si>
    <t>審査落選</t>
  </si>
  <si>
    <t>記事数</t>
  </si>
  <si>
    <t>③有料記事販売</t>
  </si>
  <si>
    <t>実施中</t>
  </si>
  <si>
    <t>暗号解読記事販売</t>
  </si>
  <si>
    <t>有料記事数</t>
  </si>
  <si>
    <t>有料記事売上</t>
  </si>
  <si>
    <t>④有料マガジン</t>
  </si>
  <si>
    <t>未着手</t>
  </si>
  <si>
    <t>⑤YouTube開始</t>
  </si>
  <si>
    <t>2026/4/25初投稿</t>
  </si>
  <si>
    <t>⑥SNS流入強化</t>
  </si>
  <si>
    <t>チップ売上</t>
  </si>
  <si>
    <t>Xアカウント作成</t>
  </si>
  <si>
    <t>フォロワー</t>
  </si>
  <si>
    <t>?</t>
  </si>
  <si>
    <t>自分への誕プレ</t>
  </si>
  <si>
    <t>OSMO Pocket 4</t>
  </si>
  <si>
    <t>日付</t>
  </si>
  <si>
    <t>2026年末 登録者数、視聴時間がA目標達成→</t>
  </si>
  <si>
    <t>＋オリエンタルスパ</t>
  </si>
  <si>
    <t>2026年末 どちらか一方がA目標達成→</t>
  </si>
  <si>
    <t>マンダリンオリエンタル</t>
  </si>
  <si>
    <t>内容</t>
  </si>
  <si>
    <t>2026年末 登録者数、視聴時間がB目標達成→</t>
  </si>
  <si>
    <t>ペニンシュラ</t>
  </si>
  <si>
    <t>2025/07〜09</t>
  </si>
  <si>
    <t>目標未達成→</t>
  </si>
  <si>
    <t>コンラッド or シャングリラ</t>
  </si>
  <si>
    <t>毎月400円記事が1本販売</t>
  </si>
  <si>
    <t>2027年5月 登録者数、視聴時間A目標達成→</t>
  </si>
  <si>
    <t>2027年5月 どちらか一方A目標達成→</t>
  </si>
  <si>
    <t>2027年5月  登録者数、視聴時間B目標達成→</t>
  </si>
  <si>
    <t>初チップ 30,000円獲得</t>
  </si>
  <si>
    <t>累計30,000PV達成</t>
  </si>
  <si>
    <t>目標（2027年5月）5/31時点</t>
  </si>
  <si>
    <t>100円記事販売</t>
  </si>
  <si>
    <t>30本</t>
  </si>
  <si>
    <t>約55本</t>
  </si>
  <si>
    <t>累計100,000PV達成</t>
  </si>
  <si>
    <t>A：500人 / B：300人</t>
  </si>
  <si>
    <t>A：1,000人 / B：約700人</t>
  </si>
  <si>
    <t>フォロワー100人突破</t>
  </si>
  <si>
    <t>A：4,000時間 / B：2,400時間</t>
  </si>
  <si>
    <t>A：8,000時間 / B：約6,000時間</t>
  </si>
  <si>
    <t>A：50,000回 / B：30,000回</t>
  </si>
  <si>
    <t>A：100,000回 / B：約75,000回</t>
  </si>
  <si>
    <t>記事数75本到達</t>
  </si>
  <si>
    <t>長尺動画10本投稿</t>
  </si>
  <si>
    <t>YouTube登録者100人</t>
  </si>
  <si>
    <t>noteフォロワー200人</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</si>
</sst>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m/dd"/>
    <numFmt numFmtId="165" formatCode="yyyy年m月d日 h:mm"/>
    <numFmt numFmtId="166" formatCode="yyyy/m/d"/>
    <numFmt numFmtId="167" formatCode="#,##0.0"/>
    <numFmt numFmtId="168" formatCode="yyyy年m月"/>
    <numFmt numFmtId="169" formatCode="[$¥-411]#,##0"/>
    <numFmt numFmtId="170" formatCode="yyyy/mm"/>
  </numFmts>
  <fonts count="18">
    <font>
      <sz val="10.0"/>
      <color rgb="FF000000"/>
      <name val="Arial"/>
      <scheme val="minor"/>
    </font>
    <font>
      <color theme="1"/>
      <name val="Arial"/>
      <scheme val="minor"/>
    </font>
    <font>
      <b/>
      <color theme="1"/>
      <name val="Arial"/>
      <scheme val="minor"/>
    </font>
    <font>
      <color rgb="FF38761D"/>
      <name val="Arial"/>
      <scheme val="minor"/>
    </font>
    <font>
      <color rgb="FFCC0000"/>
      <name val="Arial"/>
      <scheme val="minor"/>
    </font>
    <font>
      <sz val="13.0"/>
      <color theme="1"/>
      <name val="Arial"/>
      <scheme val="minor"/>
    </font>
    <font>
      <sz val="10.0"/>
      <color theme="1"/>
      <name val="Arial"/>
      <scheme val="minor"/>
    </font>
    <font>
      <sz val="15.0"/>
      <color theme="1"/>
      <name val="Arial"/>
      <scheme val="minor"/>
    </font>
    <font>
      <sz val="12.0"/>
      <color theme="1"/>
      <name val="Arial"/>
      <scheme val="minor"/>
    </font>
    <font>
      <u/>
      <color theme="1"/>
      <name val="Arial"/>
      <scheme val="minor"/>
    </font>
    <font>
      <b/>
      <sz val="12.0"/>
      <color theme="1"/>
      <name val="Arial"/>
      <scheme val="minor"/>
    </font>
    <font>
      <b/>
      <sz val="10.0"/>
      <color theme="1"/>
      <name val="Arial"/>
      <scheme val="minor"/>
    </font>
    <font>
      <sz val="11.0"/>
      <color rgb="FF494949"/>
      <name val="&quot;Noto Sans JP&quot;"/>
    </font>
    <font>
      <sz val="10.0"/>
      <color theme="1"/>
      <name val="&quot;Helvetica Neue&quot;"/>
    </font>
    <font>
      <sz val="11.0"/>
      <color theme="1"/>
      <name val="Arial"/>
      <scheme val="minor"/>
    </font>
    <font>
      <sz val="16.0"/>
      <color theme="1"/>
      <name val="Arial"/>
      <scheme val="minor"/>
    </font>
    <font>
      <sz val="14.0"/>
      <color theme="1"/>
      <name val="Arial"/>
      <scheme val="minor"/>
    </font>
    <font>
      <sz val="10.0"/>
      <color rgb="FF000000"/>
      <name val="'Google Sans Text'"/>
    </font>
  </fonts>
  <fills count="8">
    <fill>
      <patternFill patternType="none"/>
    </fill>
    <fill>
      <patternFill patternType="lightGray"/>
    </fill>
    <fill>
      <patternFill patternType="solid">
        <fgColor rgb="FFD9D2E9"/>
        <bgColor rgb="FFD9D2E9"/>
      </patternFill>
    </fill>
    <fill>
      <patternFill patternType="solid">
        <fgColor rgb="FFEA9999"/>
        <bgColor rgb="FFEA9999"/>
      </patternFill>
    </fill>
    <fill>
      <patternFill patternType="solid">
        <fgColor rgb="FFB6D7A8"/>
        <bgColor rgb="FFB6D7A8"/>
      </patternFill>
    </fill>
    <fill>
      <patternFill patternType="solid">
        <fgColor rgb="FF38761D"/>
        <bgColor rgb="FF38761D"/>
      </patternFill>
    </fill>
    <fill>
      <patternFill patternType="solid">
        <fgColor rgb="FFFFFFFF"/>
        <bgColor rgb="FFFFFFFF"/>
      </patternFill>
    </fill>
    <fill>
      <patternFill patternType="solid">
        <fgColor rgb="FF999999"/>
        <bgColor rgb="FF999999"/>
      </patternFill>
    </fill>
  </fills>
  <borders count="3">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left" readingOrder="0"/>
    </xf>
    <xf borderId="0" fillId="0" fontId="2" numFmtId="0" xfId="0" applyAlignment="1" applyFont="1">
      <alignment readingOrder="0"/>
    </xf>
    <xf borderId="0" fillId="0" fontId="1" numFmtId="164" xfId="0" applyAlignment="1" applyFont="1" applyNumberFormat="1">
      <alignment horizontal="right" readingOrder="0"/>
    </xf>
    <xf borderId="0" fillId="0" fontId="1" numFmtId="165" xfId="0" applyAlignment="1" applyFont="1" applyNumberFormat="1">
      <alignment horizontal="left" readingOrder="0"/>
    </xf>
    <xf borderId="0" fillId="0" fontId="2" numFmtId="0" xfId="0" applyFont="1"/>
    <xf borderId="0" fillId="0" fontId="1" numFmtId="164" xfId="0" applyAlignment="1" applyFont="1" applyNumberFormat="1">
      <alignment readingOrder="0"/>
    </xf>
    <xf borderId="0" fillId="0" fontId="3" numFmtId="0" xfId="0" applyFont="1"/>
    <xf borderId="0" fillId="0" fontId="4" numFmtId="0" xfId="0" applyFont="1"/>
    <xf borderId="0" fillId="0" fontId="1" numFmtId="166" xfId="0" applyAlignment="1" applyFont="1" applyNumberFormat="1">
      <alignment readingOrder="0"/>
    </xf>
    <xf borderId="0" fillId="0" fontId="3" numFmtId="3" xfId="0" applyFont="1" applyNumberFormat="1"/>
    <xf borderId="0" fillId="3" fontId="1" numFmtId="0" xfId="0" applyAlignment="1" applyFill="1" applyFont="1">
      <alignment readingOrder="0"/>
    </xf>
    <xf borderId="0" fillId="0" fontId="5" numFmtId="0" xfId="0" applyAlignment="1" applyFont="1">
      <alignment horizontal="left" readingOrder="0"/>
    </xf>
    <xf borderId="0" fillId="0" fontId="3" numFmtId="3" xfId="0" applyAlignment="1" applyFont="1" applyNumberFormat="1">
      <alignment readingOrder="0"/>
    </xf>
    <xf borderId="0" fillId="0" fontId="6" numFmtId="0" xfId="0" applyAlignment="1" applyFont="1">
      <alignment horizontal="center" readingOrder="0"/>
    </xf>
    <xf borderId="0" fillId="0" fontId="7" numFmtId="0" xfId="0" applyAlignment="1" applyFont="1">
      <alignment horizontal="left" readingOrder="0"/>
    </xf>
    <xf borderId="0" fillId="4" fontId="1" numFmtId="0" xfId="0" applyAlignment="1" applyFill="1" applyFont="1">
      <alignment horizontal="center" readingOrder="0"/>
    </xf>
    <xf borderId="0" fillId="0" fontId="6" numFmtId="0" xfId="0" applyFont="1"/>
    <xf borderId="0" fillId="0" fontId="8" numFmtId="0" xfId="0" applyAlignment="1" applyFont="1">
      <alignment readingOrder="0"/>
    </xf>
    <xf borderId="0" fillId="0" fontId="8" numFmtId="0" xfId="0" applyFont="1"/>
    <xf borderId="0" fillId="0" fontId="9" numFmtId="0" xfId="0" applyAlignment="1" applyFont="1">
      <alignment readingOrder="0"/>
    </xf>
    <xf borderId="0" fillId="0" fontId="6" numFmtId="0" xfId="0" applyAlignment="1" applyFont="1">
      <alignment readingOrder="0"/>
    </xf>
    <xf borderId="1" fillId="5" fontId="10" numFmtId="0" xfId="0" applyAlignment="1" applyBorder="1" applyFill="1" applyFont="1">
      <alignment horizontal="center" readingOrder="0"/>
    </xf>
    <xf borderId="0" fillId="0" fontId="7" numFmtId="0" xfId="0" applyAlignment="1" applyFont="1">
      <alignment readingOrder="0"/>
    </xf>
    <xf borderId="1" fillId="5" fontId="10" numFmtId="49" xfId="0" applyAlignment="1" applyBorder="1" applyFill="1" applyFont="1" applyNumberFormat="1">
      <alignment horizontal="center" readingOrder="0"/>
    </xf>
    <xf borderId="1" fillId="5" fontId="10" numFmtId="0" xfId="0" applyAlignment="1" applyBorder="1" applyFill="1" applyFont="1">
      <alignment readingOrder="0"/>
    </xf>
    <xf borderId="0" fillId="0" fontId="6" numFmtId="0" xfId="0" applyAlignment="1" applyFont="1">
      <alignment horizontal="center" readingOrder="0" shrinkToFit="0" vertical="center" wrapText="0"/>
    </xf>
    <xf borderId="1" fillId="0" fontId="6" numFmtId="0" xfId="0" applyAlignment="1" applyBorder="1" applyFont="1">
      <alignment readingOrder="0"/>
    </xf>
    <xf borderId="0" fillId="0" fontId="5" numFmtId="0" xfId="0" applyAlignment="1" applyFont="1">
      <alignment readingOrder="0"/>
    </xf>
    <xf borderId="1" fillId="0" fontId="6" numFmtId="0" xfId="0" applyAlignment="1" applyBorder="1" applyFont="1">
      <alignment readingOrder="0" shrinkToFit="0" vertical="center" wrapText="0"/>
    </xf>
    <xf borderId="1" fillId="0" fontId="11" numFmtId="3" xfId="0" applyAlignment="1" applyBorder="1" applyFont="1" applyNumberFormat="1">
      <alignment readingOrder="0"/>
    </xf>
    <xf borderId="1" fillId="0" fontId="1" numFmtId="3" xfId="0" applyAlignment="1" applyBorder="1" applyFont="1" applyNumberFormat="1">
      <alignment readingOrder="0"/>
    </xf>
    <xf borderId="0" fillId="0" fontId="1" numFmtId="3" xfId="0" applyAlignment="1" applyFont="1" applyNumberFormat="1">
      <alignment readingOrder="0"/>
    </xf>
    <xf borderId="1" fillId="0" fontId="11" numFmtId="0" xfId="0" applyAlignment="1" applyBorder="1" applyFont="1">
      <alignment readingOrder="0"/>
    </xf>
    <xf borderId="0" fillId="6" fontId="12" numFmtId="0" xfId="0" applyAlignment="1" applyFill="1" applyFont="1">
      <alignment readingOrder="0"/>
    </xf>
    <xf borderId="1" fillId="0" fontId="1" numFmtId="0" xfId="0" applyAlignment="1" applyBorder="1" applyFont="1">
      <alignment readingOrder="0"/>
    </xf>
    <xf borderId="0" fillId="0" fontId="13" numFmtId="0" xfId="0" applyAlignment="1" applyFont="1">
      <alignment readingOrder="0"/>
    </xf>
    <xf borderId="0" fillId="7" fontId="1" numFmtId="166" xfId="0" applyAlignment="1" applyFill="1" applyFont="1" applyNumberFormat="1">
      <alignment readingOrder="0"/>
    </xf>
    <xf borderId="0" fillId="0" fontId="14"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1" fillId="0" fontId="6" numFmtId="0" xfId="0" applyAlignment="1" applyBorder="1" applyFont="1">
      <alignment horizontal="left" readingOrder="0" shrinkToFit="0" vertical="center" wrapText="0"/>
    </xf>
    <xf borderId="1" fillId="0" fontId="6" numFmtId="3" xfId="0" applyAlignment="1" applyBorder="1" applyFont="1" applyNumberFormat="1">
      <alignment horizontal="left" readingOrder="0" shrinkToFit="0" vertical="center" wrapText="0"/>
    </xf>
    <xf borderId="1" fillId="0" fontId="2" numFmtId="20" xfId="0" applyAlignment="1" applyBorder="1" applyFont="1" applyNumberFormat="1">
      <alignment readingOrder="0"/>
    </xf>
    <xf borderId="1" fillId="0" fontId="1" numFmtId="20" xfId="0" applyAlignment="1" applyBorder="1" applyFont="1" applyNumberFormat="1">
      <alignment readingOrder="0"/>
    </xf>
    <xf borderId="0" fillId="0" fontId="1" numFmtId="0" xfId="0" applyAlignment="1" applyFont="1">
      <alignment horizontal="left"/>
    </xf>
    <xf borderId="0" fillId="0" fontId="1" numFmtId="20" xfId="0" applyAlignment="1" applyFont="1" applyNumberFormat="1">
      <alignment readingOrder="0"/>
    </xf>
    <xf borderId="1" fillId="0" fontId="2" numFmtId="3" xfId="0" applyAlignment="1" applyBorder="1" applyFont="1" applyNumberFormat="1">
      <alignment readingOrder="0"/>
    </xf>
    <xf borderId="1" fillId="0" fontId="2" numFmtId="0" xfId="0" applyAlignment="1" applyBorder="1" applyFont="1">
      <alignment readingOrder="0"/>
    </xf>
    <xf borderId="0" fillId="0" fontId="1" numFmtId="167" xfId="0" applyAlignment="1" applyFont="1" applyNumberFormat="1">
      <alignment readingOrder="0"/>
    </xf>
    <xf borderId="1" fillId="0" fontId="2" numFmtId="4" xfId="0" applyBorder="1" applyFont="1" applyNumberFormat="1"/>
    <xf borderId="1" fillId="0" fontId="1" numFmtId="4" xfId="0" applyBorder="1" applyFont="1" applyNumberFormat="1"/>
    <xf borderId="0" fillId="0" fontId="15" numFmtId="0" xfId="0" applyAlignment="1" applyFont="1">
      <alignment readingOrder="0"/>
    </xf>
    <xf borderId="0" fillId="0" fontId="1" numFmtId="4" xfId="0" applyFont="1" applyNumberFormat="1"/>
    <xf borderId="2" fillId="0" fontId="16" numFmtId="0" xfId="0" applyAlignment="1" applyBorder="1" applyFont="1">
      <alignment readingOrder="0"/>
    </xf>
    <xf borderId="2" fillId="0" fontId="1" numFmtId="0" xfId="0" applyBorder="1" applyFont="1"/>
    <xf borderId="1" fillId="5" fontId="10" numFmtId="0" xfId="0" applyAlignment="1" applyBorder="1" applyFill="1" applyFont="1">
      <alignment readingOrder="0"/>
    </xf>
    <xf borderId="0" fillId="0" fontId="6" numFmtId="0" xfId="0" applyAlignment="1" applyFont="1">
      <alignment readingOrder="0" shrinkToFit="0" vertical="center" wrapText="0"/>
    </xf>
    <xf borderId="1" fillId="0" fontId="6" numFmtId="3" xfId="0" applyAlignment="1" applyBorder="1" applyFont="1" applyNumberFormat="1">
      <alignment readingOrder="0"/>
    </xf>
    <xf borderId="0" fillId="0" fontId="8" numFmtId="168" xfId="0" applyAlignment="1" applyFont="1" applyNumberFormat="1">
      <alignment readingOrder="0"/>
    </xf>
    <xf borderId="1" fillId="0" fontId="11" numFmtId="169" xfId="0" applyAlignment="1" applyBorder="1" applyFont="1" applyNumberFormat="1">
      <alignment readingOrder="0"/>
    </xf>
    <xf borderId="0" fillId="0" fontId="6" numFmtId="0" xfId="0" applyAlignment="1" applyFont="1">
      <alignment shrinkToFit="0" vertical="center" wrapText="0"/>
    </xf>
    <xf borderId="1" fillId="0" fontId="1" numFmtId="169" xfId="0" applyAlignment="1" applyBorder="1" applyFont="1" applyNumberFormat="1">
      <alignment readingOrder="0"/>
    </xf>
    <xf borderId="1" fillId="0" fontId="1" numFmtId="169" xfId="0" applyBorder="1" applyFont="1" applyNumberFormat="1"/>
    <xf borderId="0" fillId="0" fontId="1" numFmtId="168" xfId="0" applyAlignment="1" applyFont="1" applyNumberFormat="1">
      <alignment readingOrder="0"/>
    </xf>
    <xf borderId="0" fillId="0" fontId="6" numFmtId="169" xfId="0" applyAlignment="1" applyFont="1" applyNumberFormat="1">
      <alignment readingOrder="0"/>
    </xf>
    <xf borderId="0" fillId="0" fontId="11" numFmtId="0" xfId="0" applyAlignment="1" applyFont="1">
      <alignment readingOrder="0"/>
    </xf>
    <xf borderId="0" fillId="0" fontId="6" numFmtId="169" xfId="0" applyFont="1" applyNumberFormat="1"/>
    <xf borderId="0" fillId="0" fontId="1" numFmtId="169" xfId="0" applyAlignment="1" applyFont="1" applyNumberFormat="1">
      <alignment readingOrder="0"/>
    </xf>
    <xf borderId="0" fillId="0" fontId="17" numFmtId="0" xfId="0" applyAlignment="1" applyFont="1">
      <alignment readingOrder="0"/>
    </xf>
    <xf borderId="0" fillId="0" fontId="17" numFmtId="0" xfId="0" applyFont="1"/>
    <xf borderId="0" fillId="0" fontId="6" numFmtId="164" xfId="0" applyAlignment="1" applyFont="1" applyNumberFormat="1">
      <alignment readingOrder="0" shrinkToFit="0" vertical="center" wrapText="0"/>
    </xf>
    <xf borderId="0" fillId="0" fontId="6" numFmtId="166" xfId="0" applyAlignment="1" applyFont="1" applyNumberFormat="1">
      <alignment readingOrder="0" shrinkToFit="0" vertical="center" wrapText="0"/>
    </xf>
    <xf borderId="0" fillId="0" fontId="2" numFmtId="0" xfId="0" applyAlignment="1" applyFont="1">
      <alignment horizontal="center" readingOrder="0"/>
    </xf>
    <xf borderId="0" fillId="0" fontId="6" numFmtId="170" xfId="0" applyAlignment="1" applyFont="1" applyNumberFormat="1">
      <alignment readingOrder="0" shrinkToFit="0" vertical="center" wrapText="0"/>
    </xf>
    <xf borderId="0" fillId="0" fontId="6" numFmtId="170"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目標・プラン-style">
      <tableStyleElement dxfId="1" type="headerRow"/>
      <tableStyleElement dxfId="2" type="firstRowStripe"/>
      <tableStyleElement dxfId="3" type="secondRowStripe"/>
      <tableStyleElement dxfId="4" size="0" type="wholeTable"/>
    </tableStyle>
    <tableStyle count="4" pivot="0" name="進捗早見表-style">
      <tableStyleElement dxfId="1" type="headerRow"/>
      <tableStyleElement dxfId="2" type="firstRowStripe"/>
      <tableStyleElement dxfId="3" type="secondRowStripe"/>
      <tableStyleElement dxfId="4" size="0" type="wholeTable"/>
    </tableStyle>
    <tableStyle count="4" pivot="0" name="目標・プラン-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1:D19" displayName="KPI" name="KPI" id="2">
  <tableColumns count="4">
    <tableColumn name="KPI" id="1"/>
    <tableColumn name="目標（2026年末）" id="2"/>
    <tableColumn name="2026.6.11（目標設定時）" id="3"/>
    <tableColumn name="2026.9.2（目標更新時）" id="4"/>
  </tableColumns>
  <tableStyleInfo name="目標・プラン-style" showColumnStripes="0" showFirstColumn="1" showLastColumn="1" showRowStripes="1"/>
</table>
</file>

<file path=xl/tables/table2.xml><?xml version="1.0" encoding="utf-8"?>
<table xmlns="http://schemas.openxmlformats.org/spreadsheetml/2006/main" ref="A22:D28" displayName="マネタイズロードマップ" name="マネタイズロードマップ" id="3">
  <tableColumns count="4">
    <tableColumn name="施策" id="1"/>
    <tableColumn name="状態" id="2"/>
    <tableColumn name="備考" id="3"/>
    <tableColumn name="Column 4" id="4"/>
  </tableColumns>
  <tableStyleInfo name="目標・プラン-style 2" showColumnStripes="0" showFirstColumn="1" showLastColumn="1" showRowStripes="1"/>
</table>
</file>

<file path=xl/tables/table3.xml><?xml version="1.0" encoding="utf-8"?>
<table xmlns="http://schemas.openxmlformats.org/spreadsheetml/2006/main" ref="A24:B34" displayName="実績_2" name="実績_2" id="1">
  <tableColumns count="2">
    <tableColumn name="日付" id="1"/>
    <tableColumn name="内容" id="2"/>
  </tableColumns>
  <tableStyleInfo name="進捗早見表-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9PpjIgDgARJlQnraTMdX43A0Y4dLF3I1WCRQnyh91lQ/edit?gid=799020739" TargetMode="External"/><Relationship Id="rId2" Type="http://schemas.openxmlformats.org/officeDocument/2006/relationships/drawing" Target="../drawings/drawing2.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34.38"/>
    <col customWidth="1" min="3" max="3" width="22.88"/>
    <col customWidth="1" min="4" max="4" width="22.13"/>
    <col customWidth="1" min="5" max="5" width="31.88"/>
    <col customWidth="1" min="6" max="6" width="14.38"/>
    <col customWidth="1" min="7" max="7" width="30.75"/>
  </cols>
  <sheetData>
    <row r="1">
      <c r="A1" s="18" t="s">
        <v>51</v>
      </c>
      <c r="C1" s="5" t="s">
        <v>9</v>
      </c>
      <c r="D1" s="20"/>
      <c r="E1" s="20"/>
      <c r="F1" s="20"/>
      <c r="G1" s="20"/>
    </row>
    <row r="2">
      <c r="A2" s="21" t="s">
        <v>70</v>
      </c>
      <c r="F2" s="22"/>
      <c r="G2" s="21" t="s">
        <v>75</v>
      </c>
    </row>
    <row r="3" ht="17.25" customHeight="1">
      <c r="A3" s="21"/>
      <c r="B3" s="21"/>
      <c r="C3" s="22"/>
      <c r="D3" s="22"/>
      <c r="G3" s="21" t="s">
        <v>80</v>
      </c>
    </row>
    <row r="4">
      <c r="A4" s="21" t="s">
        <v>83</v>
      </c>
      <c r="B4" s="21" t="s">
        <v>84</v>
      </c>
      <c r="C4" s="22"/>
      <c r="F4" s="21"/>
      <c r="G4" s="21" t="s">
        <v>87</v>
      </c>
    </row>
    <row r="5">
      <c r="A5" s="21" t="s">
        <v>90</v>
      </c>
      <c r="B5" s="21" t="s">
        <v>92</v>
      </c>
      <c r="C5" s="21"/>
      <c r="F5" s="21"/>
      <c r="G5" s="21" t="s">
        <v>95</v>
      </c>
    </row>
    <row r="6">
      <c r="A6" s="21" t="s">
        <v>98</v>
      </c>
      <c r="B6" s="21" t="s">
        <v>99</v>
      </c>
      <c r="C6" s="20"/>
      <c r="D6" s="20"/>
      <c r="F6" s="21"/>
      <c r="G6" s="21" t="s">
        <v>102</v>
      </c>
    </row>
    <row r="7">
      <c r="A7" s="21" t="s">
        <v>104</v>
      </c>
      <c r="B7" s="21" t="s">
        <v>106</v>
      </c>
      <c r="C7" s="20"/>
      <c r="D7" s="21" t="s">
        <v>108</v>
      </c>
      <c r="E7" s="21" t="s">
        <v>111</v>
      </c>
      <c r="F7" s="21"/>
      <c r="G7" s="22"/>
    </row>
    <row r="8">
      <c r="A8" s="21" t="s">
        <v>114</v>
      </c>
      <c r="B8" s="21" t="s">
        <v>116</v>
      </c>
      <c r="C8" s="20"/>
      <c r="D8" s="20"/>
      <c r="E8" s="21"/>
      <c r="F8" s="21"/>
      <c r="G8" s="22"/>
    </row>
    <row r="9">
      <c r="C9" s="20"/>
      <c r="D9" s="20"/>
      <c r="E9" s="24"/>
      <c r="F9" s="24"/>
      <c r="G9" s="20"/>
    </row>
    <row r="10">
      <c r="C10" s="20"/>
      <c r="D10" s="20"/>
      <c r="E10" s="24"/>
      <c r="F10" s="24"/>
      <c r="G10" s="26" t="s">
        <v>132</v>
      </c>
      <c r="H10" s="20"/>
    </row>
    <row r="11" ht="22.5" customHeight="1">
      <c r="A11" s="29" t="s">
        <v>138</v>
      </c>
      <c r="B11" s="29" t="s">
        <v>166</v>
      </c>
      <c r="C11" s="29" t="s">
        <v>173</v>
      </c>
      <c r="D11" s="29" t="s">
        <v>176</v>
      </c>
      <c r="E11" s="24"/>
      <c r="F11" s="24"/>
      <c r="G11" s="31" t="s">
        <v>181</v>
      </c>
      <c r="H11" s="20"/>
    </row>
    <row r="12" ht="22.5" customHeight="1">
      <c r="A12" s="32" t="s">
        <v>186</v>
      </c>
      <c r="B12" s="32" t="s">
        <v>193</v>
      </c>
      <c r="C12" s="32" t="s">
        <v>196</v>
      </c>
      <c r="D12" s="32" t="s">
        <v>202</v>
      </c>
      <c r="E12" s="20"/>
      <c r="F12" s="20"/>
      <c r="G12" s="21" t="s">
        <v>206</v>
      </c>
      <c r="H12" s="17"/>
    </row>
    <row r="13" ht="22.5" customHeight="1">
      <c r="A13" s="32" t="s">
        <v>211</v>
      </c>
      <c r="B13" s="32" t="s">
        <v>215</v>
      </c>
      <c r="C13" s="32" t="s">
        <v>219</v>
      </c>
      <c r="D13" s="32" t="s">
        <v>222</v>
      </c>
      <c r="G13" s="37" t="s">
        <v>226</v>
      </c>
    </row>
    <row r="14" ht="22.5" customHeight="1">
      <c r="A14" s="32" t="s">
        <v>235</v>
      </c>
      <c r="B14" s="32" t="s">
        <v>239</v>
      </c>
      <c r="C14" s="32" t="s">
        <v>240</v>
      </c>
      <c r="D14" s="32" t="s">
        <v>241</v>
      </c>
      <c r="G14" s="41" t="s">
        <v>246</v>
      </c>
    </row>
    <row r="15" ht="22.5" customHeight="1">
      <c r="A15" s="32" t="s">
        <v>249</v>
      </c>
      <c r="B15" s="32" t="s">
        <v>250</v>
      </c>
      <c r="C15" s="44" t="s">
        <v>252</v>
      </c>
      <c r="D15" s="45" t="s">
        <v>256</v>
      </c>
    </row>
    <row r="16" ht="22.5" customHeight="1">
      <c r="A16" s="32" t="s">
        <v>262</v>
      </c>
      <c r="B16" s="32" t="s">
        <v>265</v>
      </c>
      <c r="C16" s="32" t="s">
        <v>268</v>
      </c>
      <c r="D16" s="32" t="s">
        <v>271</v>
      </c>
      <c r="G16" s="21" t="s">
        <v>273</v>
      </c>
    </row>
    <row r="17" ht="22.5" customHeight="1">
      <c r="A17" s="32" t="s">
        <v>275</v>
      </c>
      <c r="B17" s="32" t="s">
        <v>278</v>
      </c>
      <c r="C17" s="32" t="s">
        <v>281</v>
      </c>
      <c r="D17" s="32" t="s">
        <v>282</v>
      </c>
      <c r="G17" s="41" t="s">
        <v>286</v>
      </c>
    </row>
    <row r="18" ht="22.5" customHeight="1">
      <c r="A18" s="32" t="s">
        <v>287</v>
      </c>
      <c r="B18" s="32" t="s">
        <v>290</v>
      </c>
      <c r="C18" s="32" t="s">
        <v>292</v>
      </c>
      <c r="D18" s="32" t="s">
        <v>293</v>
      </c>
      <c r="G18" s="41" t="s">
        <v>295</v>
      </c>
    </row>
    <row r="19" ht="21.75" customHeight="1">
      <c r="A19" s="32" t="s">
        <v>296</v>
      </c>
      <c r="B19" s="32" t="s">
        <v>297</v>
      </c>
      <c r="C19" s="32" t="s">
        <v>298</v>
      </c>
      <c r="D19" s="32" t="s">
        <v>299</v>
      </c>
      <c r="G19" s="55" t="s">
        <v>300</v>
      </c>
    </row>
    <row r="20">
      <c r="E20" s="17"/>
      <c r="F20" s="17"/>
      <c r="G20" s="41" t="s">
        <v>286</v>
      </c>
    </row>
    <row r="21">
      <c r="A21" s="17"/>
      <c r="B21" s="17"/>
      <c r="C21" s="17"/>
      <c r="D21" s="17"/>
      <c r="E21" s="17"/>
      <c r="F21" s="17"/>
      <c r="G21" s="41" t="s">
        <v>301</v>
      </c>
      <c r="H21" s="20"/>
    </row>
    <row r="22" ht="22.5" customHeight="1">
      <c r="A22" s="29" t="s">
        <v>302</v>
      </c>
      <c r="B22" s="29" t="s">
        <v>303</v>
      </c>
      <c r="C22" s="29" t="s">
        <v>305</v>
      </c>
      <c r="D22" s="29" t="s">
        <v>306</v>
      </c>
      <c r="E22" s="24"/>
      <c r="F22" s="24"/>
      <c r="G22" s="20"/>
      <c r="H22" s="20"/>
    </row>
    <row r="23" ht="22.5" customHeight="1">
      <c r="A23" s="60" t="s">
        <v>312</v>
      </c>
      <c r="B23" s="60" t="s">
        <v>315</v>
      </c>
      <c r="C23" s="60" t="s">
        <v>317</v>
      </c>
      <c r="D23" s="60"/>
      <c r="E23" s="24"/>
      <c r="F23" s="24"/>
    </row>
    <row r="24" ht="22.5" customHeight="1">
      <c r="A24" s="60" t="s">
        <v>318</v>
      </c>
      <c r="B24" s="60" t="s">
        <v>319</v>
      </c>
      <c r="C24" s="60" t="s">
        <v>320</v>
      </c>
      <c r="D24" s="60"/>
      <c r="E24" s="24"/>
      <c r="F24" s="24"/>
      <c r="G24" s="21"/>
    </row>
    <row r="25" ht="22.5" customHeight="1">
      <c r="A25" s="60" t="s">
        <v>322</v>
      </c>
      <c r="B25" s="60" t="s">
        <v>323</v>
      </c>
      <c r="C25" s="60" t="s">
        <v>324</v>
      </c>
      <c r="D25" s="60"/>
      <c r="E25" s="20"/>
      <c r="F25" s="20"/>
      <c r="G25" s="62"/>
    </row>
    <row r="26" ht="22.5" customHeight="1">
      <c r="A26" s="60" t="s">
        <v>327</v>
      </c>
      <c r="B26" s="60" t="s">
        <v>328</v>
      </c>
      <c r="C26" s="64"/>
      <c r="D26" s="64"/>
      <c r="E26" s="24"/>
      <c r="F26" s="24"/>
      <c r="G26" s="20"/>
    </row>
    <row r="27" ht="22.5" customHeight="1">
      <c r="A27" s="60" t="s">
        <v>329</v>
      </c>
      <c r="B27" s="60" t="s">
        <v>315</v>
      </c>
      <c r="C27" s="60" t="s">
        <v>330</v>
      </c>
      <c r="D27" s="60"/>
      <c r="E27" s="24"/>
      <c r="F27" s="24"/>
      <c r="G27" s="20"/>
    </row>
    <row r="28" ht="22.5" customHeight="1">
      <c r="A28" s="60" t="s">
        <v>331</v>
      </c>
      <c r="B28" s="60" t="s">
        <v>323</v>
      </c>
      <c r="C28" s="60" t="s">
        <v>333</v>
      </c>
      <c r="D28" s="60"/>
      <c r="E28" s="20"/>
      <c r="F28" s="20"/>
      <c r="G28" s="20"/>
    </row>
    <row r="29">
      <c r="C29" s="20"/>
      <c r="D29" s="20"/>
      <c r="E29" s="20"/>
      <c r="F29" s="20"/>
      <c r="G29" s="20"/>
    </row>
    <row r="30">
      <c r="C30" s="20"/>
      <c r="D30" s="20"/>
      <c r="E30" s="20"/>
      <c r="F30" s="20"/>
      <c r="G30" s="20"/>
    </row>
    <row r="31">
      <c r="A31" s="67">
        <v>46388.0</v>
      </c>
      <c r="B31" s="2" t="s">
        <v>336</v>
      </c>
      <c r="C31" s="24" t="s">
        <v>337</v>
      </c>
      <c r="D31" s="68">
        <v>80000.0</v>
      </c>
      <c r="E31" s="20"/>
      <c r="F31" s="20"/>
      <c r="G31" s="20"/>
    </row>
    <row r="32">
      <c r="C32" s="20"/>
      <c r="D32" s="70"/>
      <c r="E32" s="20"/>
      <c r="F32" s="20"/>
      <c r="G32" s="20"/>
    </row>
    <row r="33">
      <c r="A33" s="67">
        <v>46569.0</v>
      </c>
      <c r="B33" s="2" t="s">
        <v>217</v>
      </c>
      <c r="C33" s="20"/>
      <c r="D33" s="70"/>
      <c r="E33" s="20"/>
      <c r="F33" s="20"/>
      <c r="G33" s="20"/>
    </row>
    <row r="34">
      <c r="B34" s="2" t="s">
        <v>339</v>
      </c>
      <c r="C34" s="2" t="s">
        <v>340</v>
      </c>
      <c r="D34" s="71">
        <v>20000.0</v>
      </c>
      <c r="E34" s="20"/>
      <c r="F34" s="20"/>
      <c r="G34" s="20"/>
    </row>
    <row r="35">
      <c r="B35" s="2" t="s">
        <v>341</v>
      </c>
      <c r="C35" s="24" t="s">
        <v>342</v>
      </c>
      <c r="D35" s="68">
        <v>100000.0</v>
      </c>
      <c r="E35" s="20"/>
      <c r="F35" s="20"/>
      <c r="G35" s="20"/>
    </row>
    <row r="36">
      <c r="A36" s="72"/>
      <c r="B36" s="2" t="s">
        <v>344</v>
      </c>
      <c r="C36" s="24" t="s">
        <v>345</v>
      </c>
      <c r="D36" s="68">
        <v>70000.0</v>
      </c>
      <c r="E36" s="20"/>
      <c r="F36" s="20"/>
      <c r="G36" s="20"/>
    </row>
    <row r="37">
      <c r="A37" s="73"/>
      <c r="B37" s="2" t="s">
        <v>347</v>
      </c>
      <c r="C37" s="24" t="s">
        <v>348</v>
      </c>
      <c r="D37" s="68">
        <v>30000.0</v>
      </c>
      <c r="E37" s="20"/>
      <c r="F37" s="20"/>
      <c r="G37" s="20"/>
    </row>
    <row r="38">
      <c r="A38" s="72"/>
      <c r="B38" s="24" t="s">
        <v>300</v>
      </c>
      <c r="C38" s="20"/>
      <c r="D38" s="20"/>
      <c r="E38" s="20"/>
      <c r="F38" s="20"/>
      <c r="G38" s="20"/>
    </row>
    <row r="39">
      <c r="A39" s="72"/>
      <c r="B39" s="2" t="s">
        <v>350</v>
      </c>
      <c r="C39" s="2" t="s">
        <v>340</v>
      </c>
      <c r="D39" s="71">
        <v>20000.0</v>
      </c>
      <c r="E39" s="20"/>
      <c r="F39" s="20"/>
      <c r="G39" s="20"/>
    </row>
    <row r="40">
      <c r="A40" s="72"/>
      <c r="B40" s="2" t="s">
        <v>351</v>
      </c>
      <c r="C40" s="24" t="s">
        <v>342</v>
      </c>
      <c r="D40" s="68">
        <v>100000.0</v>
      </c>
      <c r="E40" s="20"/>
      <c r="F40" s="20"/>
      <c r="G40" s="20"/>
    </row>
    <row r="41">
      <c r="A41" s="73"/>
      <c r="B41" s="2" t="s">
        <v>352</v>
      </c>
      <c r="C41" s="24" t="s">
        <v>345</v>
      </c>
      <c r="D41" s="68">
        <v>70000.0</v>
      </c>
      <c r="E41" s="20"/>
      <c r="F41" s="20"/>
      <c r="G41" s="20"/>
    </row>
    <row r="42">
      <c r="A42" s="72"/>
      <c r="B42" s="2" t="s">
        <v>347</v>
      </c>
      <c r="C42" s="24" t="s">
        <v>348</v>
      </c>
      <c r="D42" s="68">
        <v>30000.0</v>
      </c>
      <c r="E42" s="20"/>
      <c r="F42" s="20"/>
      <c r="G42" s="20"/>
    </row>
    <row r="43">
      <c r="A43" s="72"/>
      <c r="B43" s="20"/>
      <c r="C43" s="20"/>
      <c r="D43" s="20"/>
      <c r="E43" s="20"/>
      <c r="F43" s="20"/>
      <c r="G43" s="20"/>
    </row>
    <row r="44">
      <c r="A44" s="72"/>
      <c r="B44" s="20"/>
      <c r="C44" s="20"/>
      <c r="D44" s="20"/>
      <c r="E44" s="20"/>
      <c r="F44" s="20"/>
      <c r="G44" s="20"/>
    </row>
    <row r="45">
      <c r="A45" s="76" t="s">
        <v>138</v>
      </c>
      <c r="B45" s="76" t="s">
        <v>166</v>
      </c>
      <c r="C45" s="76" t="s">
        <v>355</v>
      </c>
      <c r="D45" s="20"/>
      <c r="E45" s="20"/>
      <c r="F45" s="20"/>
      <c r="G45" s="20"/>
    </row>
    <row r="46">
      <c r="A46" s="2" t="s">
        <v>186</v>
      </c>
      <c r="B46" s="2" t="s">
        <v>357</v>
      </c>
      <c r="C46" s="2" t="s">
        <v>358</v>
      </c>
      <c r="D46" s="20"/>
      <c r="E46" s="20"/>
      <c r="F46" s="20"/>
      <c r="G46" s="20"/>
    </row>
    <row r="47">
      <c r="A47" s="2" t="s">
        <v>211</v>
      </c>
      <c r="B47" s="2" t="s">
        <v>360</v>
      </c>
      <c r="C47" s="2" t="s">
        <v>361</v>
      </c>
      <c r="D47" s="20"/>
      <c r="E47" s="20"/>
      <c r="F47" s="20"/>
      <c r="G47" s="20"/>
    </row>
    <row r="48">
      <c r="A48" s="2" t="s">
        <v>235</v>
      </c>
      <c r="B48" s="2" t="s">
        <v>363</v>
      </c>
      <c r="C48" s="2" t="s">
        <v>364</v>
      </c>
      <c r="D48" s="20"/>
      <c r="E48" s="20"/>
      <c r="F48" s="20"/>
      <c r="G48" s="20"/>
    </row>
    <row r="49">
      <c r="A49" s="2" t="s">
        <v>249</v>
      </c>
      <c r="B49" s="2" t="s">
        <v>365</v>
      </c>
      <c r="C49" s="2" t="s">
        <v>366</v>
      </c>
      <c r="D49" s="20"/>
      <c r="E49" s="20"/>
      <c r="F49" s="20"/>
      <c r="G49" s="20"/>
    </row>
    <row r="50">
      <c r="A50" s="72"/>
      <c r="B50" s="20"/>
      <c r="C50" s="20"/>
      <c r="D50" s="20"/>
      <c r="E50" s="20"/>
      <c r="F50" s="20"/>
      <c r="G50" s="20"/>
    </row>
    <row r="51">
      <c r="A51" s="72"/>
      <c r="B51" s="20"/>
      <c r="C51" s="20"/>
      <c r="D51" s="20"/>
      <c r="E51" s="20"/>
      <c r="F51" s="20"/>
      <c r="G51" s="20"/>
    </row>
    <row r="52">
      <c r="A52" s="73"/>
      <c r="B52" s="20"/>
      <c r="C52" s="20"/>
      <c r="D52" s="20"/>
      <c r="E52" s="20"/>
      <c r="F52" s="20"/>
      <c r="G52" s="20"/>
    </row>
    <row r="53">
      <c r="A53" s="73"/>
      <c r="B53" s="20"/>
      <c r="C53" s="20"/>
      <c r="D53" s="20"/>
      <c r="E53" s="20"/>
      <c r="F53" s="20"/>
      <c r="G53" s="20"/>
    </row>
    <row r="54">
      <c r="A54" s="73"/>
      <c r="B54" s="20"/>
      <c r="C54" s="20"/>
      <c r="D54" s="20"/>
      <c r="E54" s="20"/>
      <c r="F54" s="20"/>
      <c r="G54" s="20"/>
    </row>
    <row r="55">
      <c r="A55" s="72"/>
      <c r="B55" s="20"/>
      <c r="C55" s="20"/>
      <c r="D55" s="20"/>
      <c r="E55" s="20"/>
      <c r="F55" s="20"/>
      <c r="G55" s="20"/>
    </row>
    <row r="56">
      <c r="A56" s="72"/>
      <c r="B56" s="20"/>
      <c r="C56" s="20"/>
      <c r="D56" s="20"/>
      <c r="E56" s="20"/>
      <c r="F56" s="20"/>
      <c r="G56" s="20"/>
    </row>
    <row r="57">
      <c r="A57" s="72"/>
      <c r="B57" s="20"/>
      <c r="C57" s="20"/>
      <c r="D57" s="20"/>
      <c r="E57" s="20"/>
      <c r="F57" s="20"/>
      <c r="G57" s="20"/>
    </row>
    <row r="58">
      <c r="A58" s="72"/>
      <c r="B58" s="20"/>
      <c r="C58" s="20"/>
      <c r="D58" s="20"/>
      <c r="E58" s="20"/>
      <c r="F58" s="20"/>
      <c r="G58" s="20"/>
    </row>
    <row r="59">
      <c r="A59" s="72"/>
      <c r="B59" s="20"/>
      <c r="C59" s="20"/>
      <c r="D59" s="20"/>
      <c r="E59" s="20"/>
      <c r="F59" s="20"/>
      <c r="G59" s="20"/>
    </row>
    <row r="60">
      <c r="A60" s="72"/>
      <c r="B60" s="20"/>
      <c r="C60" s="20"/>
      <c r="D60" s="20"/>
      <c r="E60" s="20"/>
      <c r="F60" s="20"/>
      <c r="G60" s="20"/>
    </row>
    <row r="61">
      <c r="A61" s="72"/>
      <c r="B61" s="20"/>
      <c r="C61" s="20"/>
      <c r="D61" s="20"/>
      <c r="E61" s="20"/>
      <c r="F61" s="20"/>
      <c r="G61" s="20"/>
    </row>
    <row r="62">
      <c r="A62" s="20"/>
      <c r="B62" s="20"/>
      <c r="C62" s="20"/>
      <c r="D62" s="20"/>
      <c r="E62" s="20"/>
      <c r="F62" s="20"/>
      <c r="G62" s="20"/>
    </row>
    <row r="63">
      <c r="A63" s="20"/>
      <c r="B63" s="20"/>
      <c r="C63" s="20"/>
      <c r="D63" s="20"/>
      <c r="E63" s="20"/>
      <c r="F63" s="20"/>
      <c r="G63" s="20"/>
    </row>
    <row r="64">
      <c r="A64" s="20"/>
      <c r="B64" s="20"/>
      <c r="C64" s="20"/>
      <c r="D64" s="20"/>
    </row>
  </sheetData>
  <mergeCells count="1">
    <mergeCell ref="A1:B1"/>
  </mergeCell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20.75"/>
    <col customWidth="1" min="3" max="3" width="12.13"/>
    <col customWidth="1" min="5" max="5" width="13.13"/>
  </cols>
  <sheetData>
    <row r="1">
      <c r="A1" s="15" t="s">
        <v>46</v>
      </c>
      <c r="B1" s="17"/>
      <c r="C1" s="17"/>
      <c r="F1" s="23" t="s">
        <v>60</v>
      </c>
    </row>
    <row r="2">
      <c r="A2" s="25" t="s">
        <v>128</v>
      </c>
      <c r="B2" s="27" t="s">
        <v>148</v>
      </c>
      <c r="C2" s="25" t="s">
        <v>153</v>
      </c>
      <c r="D2" s="28" t="s">
        <v>156</v>
      </c>
      <c r="E2" s="28" t="s">
        <v>159</v>
      </c>
      <c r="F2" s="28" t="s">
        <v>162</v>
      </c>
      <c r="H2" s="2" t="s">
        <v>163</v>
      </c>
      <c r="I2" s="2" t="s">
        <v>167</v>
      </c>
      <c r="J2" s="2" t="s">
        <v>168</v>
      </c>
      <c r="K2" s="2" t="s">
        <v>170</v>
      </c>
    </row>
    <row r="3" ht="21.0" customHeight="1">
      <c r="A3" s="30" t="s">
        <v>175</v>
      </c>
      <c r="B3" s="33">
        <f t="shared" ref="B3:B5" si="1">SUM(C3:F3)</f>
        <v>7431</v>
      </c>
      <c r="C3" s="30">
        <v>313.0</v>
      </c>
      <c r="D3" s="34">
        <v>1056.0</v>
      </c>
      <c r="E3" s="34">
        <v>2491.0</v>
      </c>
      <c r="F3" s="34">
        <v>3571.0</v>
      </c>
      <c r="H3" s="35">
        <f>2048+4842</f>
        <v>6890</v>
      </c>
      <c r="I3" s="35">
        <v>9718.0</v>
      </c>
      <c r="J3" s="35">
        <v>11542.0</v>
      </c>
      <c r="K3" s="35">
        <v>14141.0</v>
      </c>
    </row>
    <row r="4">
      <c r="A4" s="30" t="s">
        <v>205</v>
      </c>
      <c r="B4" s="36">
        <f t="shared" si="1"/>
        <v>11</v>
      </c>
      <c r="C4" s="30">
        <v>1.0</v>
      </c>
      <c r="D4" s="38">
        <v>3.0</v>
      </c>
      <c r="E4" s="38">
        <v>4.0</v>
      </c>
      <c r="F4" s="38">
        <v>3.0</v>
      </c>
      <c r="H4" s="35">
        <v>5.0</v>
      </c>
      <c r="I4" s="35">
        <v>5.0</v>
      </c>
      <c r="J4" s="35">
        <v>5.0</v>
      </c>
      <c r="K4" s="35">
        <v>4.0</v>
      </c>
    </row>
    <row r="5">
      <c r="A5" s="30" t="s">
        <v>244</v>
      </c>
      <c r="B5" s="36">
        <f t="shared" si="1"/>
        <v>656.2</v>
      </c>
      <c r="C5" s="30">
        <v>24.4</v>
      </c>
      <c r="D5" s="38">
        <v>67.2</v>
      </c>
      <c r="E5" s="38">
        <v>236.8</v>
      </c>
      <c r="F5" s="38">
        <v>327.8</v>
      </c>
      <c r="H5" s="35">
        <f>119+387</f>
        <v>506</v>
      </c>
      <c r="I5" s="35">
        <v>776.0</v>
      </c>
      <c r="J5" s="35">
        <v>920.0</v>
      </c>
      <c r="K5" s="35">
        <v>1127.0</v>
      </c>
    </row>
    <row r="6">
      <c r="A6" s="38" t="s">
        <v>255</v>
      </c>
      <c r="B6" s="46">
        <f t="shared" ref="B6:B8" si="2">AVERAGE(C6:F6)</f>
        <v>0.2125</v>
      </c>
      <c r="C6" s="47">
        <v>0.1951388888888889</v>
      </c>
      <c r="D6" s="47">
        <v>0.15833333333333333</v>
      </c>
      <c r="E6" s="47">
        <v>0.2375</v>
      </c>
      <c r="F6" s="47">
        <v>0.2590277777777778</v>
      </c>
      <c r="H6" s="49">
        <v>0.25</v>
      </c>
      <c r="I6" s="49">
        <v>0.25</v>
      </c>
      <c r="J6" s="49">
        <v>0.25</v>
      </c>
      <c r="K6" s="49">
        <v>0.25</v>
      </c>
    </row>
    <row r="7">
      <c r="A7" s="38" t="s">
        <v>280</v>
      </c>
      <c r="B7" s="50">
        <f t="shared" si="2"/>
        <v>21418.25</v>
      </c>
      <c r="C7" s="34">
        <v>3951.0</v>
      </c>
      <c r="D7" s="34">
        <v>13081.0</v>
      </c>
      <c r="E7" s="34">
        <v>33424.0</v>
      </c>
      <c r="F7" s="34">
        <v>35217.0</v>
      </c>
      <c r="H7" s="35">
        <v>40000.0</v>
      </c>
      <c r="I7" s="35">
        <v>40000.0</v>
      </c>
      <c r="J7" s="35">
        <v>40000.0</v>
      </c>
      <c r="K7" s="35">
        <v>40000.0</v>
      </c>
    </row>
    <row r="8">
      <c r="A8" s="38" t="s">
        <v>285</v>
      </c>
      <c r="B8" s="51">
        <f t="shared" si="2"/>
        <v>4.95</v>
      </c>
      <c r="C8" s="38">
        <v>5.1</v>
      </c>
      <c r="D8" s="38">
        <v>4.7</v>
      </c>
      <c r="E8" s="38">
        <v>4.6</v>
      </c>
      <c r="F8" s="38">
        <v>5.4</v>
      </c>
      <c r="H8" s="52">
        <v>6.0</v>
      </c>
      <c r="I8" s="52">
        <v>6.0</v>
      </c>
      <c r="J8" s="52">
        <v>6.0</v>
      </c>
      <c r="K8" s="52">
        <v>6.0</v>
      </c>
    </row>
    <row r="9">
      <c r="A9" s="38" t="s">
        <v>291</v>
      </c>
      <c r="B9" s="51">
        <f>SUM(C9:F9)</f>
        <v>95</v>
      </c>
      <c r="C9" s="30">
        <v>4.0</v>
      </c>
      <c r="D9" s="38">
        <v>22.0</v>
      </c>
      <c r="E9" s="38">
        <v>34.0</v>
      </c>
      <c r="F9" s="38">
        <v>35.0</v>
      </c>
      <c r="H9" s="35">
        <v>65.0</v>
      </c>
      <c r="I9" s="35">
        <v>94.0</v>
      </c>
      <c r="J9" s="35">
        <v>110.0</v>
      </c>
      <c r="K9" s="35">
        <v>135.0</v>
      </c>
    </row>
    <row r="10">
      <c r="A10" s="38" t="s">
        <v>294</v>
      </c>
      <c r="B10" s="53">
        <f t="shared" ref="B10:F10" si="3">B9/B3*100</f>
        <v>1.278428206</v>
      </c>
      <c r="C10" s="54">
        <f t="shared" si="3"/>
        <v>1.277955272</v>
      </c>
      <c r="D10" s="54">
        <f t="shared" si="3"/>
        <v>2.083333333</v>
      </c>
      <c r="E10" s="54">
        <f t="shared" si="3"/>
        <v>1.364913689</v>
      </c>
      <c r="F10" s="54">
        <f t="shared" si="3"/>
        <v>0.9801176141</v>
      </c>
      <c r="H10" s="56">
        <f t="shared" ref="H10:K10" si="4">H9/H3*100</f>
        <v>0.9433962264</v>
      </c>
      <c r="I10" s="56">
        <f t="shared" si="4"/>
        <v>0.9672772175</v>
      </c>
      <c r="J10" s="56">
        <f t="shared" si="4"/>
        <v>0.9530410674</v>
      </c>
      <c r="K10" s="56">
        <f t="shared" si="4"/>
        <v>0.9546708154</v>
      </c>
    </row>
    <row r="12">
      <c r="A12" s="57" t="s">
        <v>304</v>
      </c>
      <c r="B12" s="58"/>
      <c r="C12" s="58"/>
      <c r="D12" s="58"/>
      <c r="E12" s="58"/>
      <c r="F12" s="58"/>
    </row>
    <row r="13">
      <c r="A13" s="25" t="s">
        <v>128</v>
      </c>
      <c r="B13" s="27" t="s">
        <v>307</v>
      </c>
      <c r="C13" s="25" t="s">
        <v>308</v>
      </c>
      <c r="D13" s="27" t="s">
        <v>309</v>
      </c>
      <c r="E13" s="25" t="s">
        <v>310</v>
      </c>
      <c r="F13" s="25" t="s">
        <v>311</v>
      </c>
      <c r="G13" s="59" t="s">
        <v>313</v>
      </c>
      <c r="H13" s="25" t="s">
        <v>314</v>
      </c>
      <c r="I13" s="25" t="s">
        <v>153</v>
      </c>
      <c r="J13" s="28" t="s">
        <v>156</v>
      </c>
      <c r="K13" s="28" t="s">
        <v>159</v>
      </c>
      <c r="L13" s="28" t="s">
        <v>162</v>
      </c>
      <c r="M13" s="2" t="s">
        <v>163</v>
      </c>
    </row>
    <row r="14">
      <c r="A14" s="30" t="s">
        <v>316</v>
      </c>
      <c r="B14" s="33">
        <f t="shared" ref="B14:B19" si="5">SUM(C14:L14)-D14</f>
        <v>202000</v>
      </c>
      <c r="C14" s="61">
        <v>48300.0</v>
      </c>
      <c r="D14" s="33">
        <f t="shared" ref="D14:D19" si="6">SUM(E14:L14)</f>
        <v>153700</v>
      </c>
      <c r="E14" s="61">
        <v>13000.0</v>
      </c>
      <c r="F14" s="61">
        <v>11500.0</v>
      </c>
      <c r="G14" s="34">
        <v>11500.0</v>
      </c>
      <c r="H14" s="61">
        <v>13000.0</v>
      </c>
      <c r="I14" s="61">
        <v>17000.0</v>
      </c>
      <c r="J14" s="34">
        <v>20000.0</v>
      </c>
      <c r="K14" s="34">
        <v>28700.0</v>
      </c>
      <c r="L14" s="34">
        <v>39000.0</v>
      </c>
      <c r="M14" s="35">
        <v>50000.0</v>
      </c>
    </row>
    <row r="15">
      <c r="A15" s="30" t="s">
        <v>321</v>
      </c>
      <c r="B15" s="36">
        <f t="shared" si="5"/>
        <v>92</v>
      </c>
      <c r="C15" s="30">
        <v>40.0</v>
      </c>
      <c r="D15" s="36">
        <f t="shared" si="6"/>
        <v>52</v>
      </c>
      <c r="E15" s="30">
        <v>13.0</v>
      </c>
      <c r="F15" s="30">
        <v>4.0</v>
      </c>
      <c r="G15" s="38">
        <v>6.0</v>
      </c>
      <c r="H15" s="30">
        <v>3.0</v>
      </c>
      <c r="I15" s="30">
        <v>10.0</v>
      </c>
      <c r="J15" s="38">
        <v>9.0</v>
      </c>
      <c r="K15" s="38">
        <v>5.0</v>
      </c>
      <c r="L15" s="38">
        <v>2.0</v>
      </c>
      <c r="M15" s="2">
        <v>2.0</v>
      </c>
    </row>
    <row r="16">
      <c r="A16" s="38" t="s">
        <v>325</v>
      </c>
      <c r="B16" s="36">
        <f t="shared" si="5"/>
        <v>5</v>
      </c>
      <c r="C16" s="38">
        <v>2.0</v>
      </c>
      <c r="D16" s="36">
        <f t="shared" si="6"/>
        <v>3</v>
      </c>
      <c r="E16" s="38">
        <v>0.0</v>
      </c>
      <c r="F16" s="38">
        <v>0.0</v>
      </c>
      <c r="G16" s="38">
        <v>2.0</v>
      </c>
      <c r="H16" s="38">
        <v>1.0</v>
      </c>
      <c r="I16" s="38">
        <v>0.0</v>
      </c>
      <c r="J16" s="38">
        <v>0.0</v>
      </c>
      <c r="K16" s="38">
        <v>0.0</v>
      </c>
      <c r="L16" s="38">
        <v>0.0</v>
      </c>
      <c r="M16" s="2">
        <v>1.0</v>
      </c>
    </row>
    <row r="17">
      <c r="A17" s="38" t="s">
        <v>326</v>
      </c>
      <c r="B17" s="63">
        <f t="shared" si="5"/>
        <v>6260</v>
      </c>
      <c r="C17" s="65">
        <f>100+400+400+800</f>
        <v>1700</v>
      </c>
      <c r="D17" s="63">
        <f t="shared" si="6"/>
        <v>4560</v>
      </c>
      <c r="E17" s="65">
        <v>0.0</v>
      </c>
      <c r="F17" s="65">
        <v>0.0</v>
      </c>
      <c r="G17" s="65">
        <v>700.0</v>
      </c>
      <c r="H17" s="65">
        <v>0.0</v>
      </c>
      <c r="I17" s="65">
        <v>0.0</v>
      </c>
      <c r="J17" s="65">
        <f>280*3+400</f>
        <v>1240</v>
      </c>
      <c r="K17" s="66">
        <f>480*3+700</f>
        <v>2140</v>
      </c>
      <c r="L17" s="65">
        <v>480.0</v>
      </c>
      <c r="M17" s="2">
        <v>1000.0</v>
      </c>
    </row>
    <row r="18" ht="21.75" customHeight="1">
      <c r="A18" s="38" t="s">
        <v>332</v>
      </c>
      <c r="B18" s="63">
        <f t="shared" si="5"/>
        <v>30100</v>
      </c>
      <c r="C18" s="65">
        <v>30000.0</v>
      </c>
      <c r="D18" s="63">
        <f t="shared" si="6"/>
        <v>100</v>
      </c>
      <c r="E18" s="65">
        <v>0.0</v>
      </c>
      <c r="F18" s="65">
        <v>0.0</v>
      </c>
      <c r="G18" s="65">
        <v>0.0</v>
      </c>
      <c r="H18" s="65">
        <v>0.0</v>
      </c>
      <c r="I18" s="65">
        <v>0.0</v>
      </c>
      <c r="J18" s="65">
        <v>0.0</v>
      </c>
      <c r="K18" s="65">
        <v>0.0</v>
      </c>
      <c r="L18" s="65">
        <v>100.0</v>
      </c>
      <c r="M18" s="2">
        <v>100.0</v>
      </c>
    </row>
    <row r="19">
      <c r="A19" s="30" t="s">
        <v>334</v>
      </c>
      <c r="B19" s="36">
        <f t="shared" si="5"/>
        <v>190</v>
      </c>
      <c r="C19" s="30" t="s">
        <v>335</v>
      </c>
      <c r="D19" s="36">
        <f t="shared" si="6"/>
        <v>190</v>
      </c>
      <c r="E19" s="30" t="s">
        <v>335</v>
      </c>
      <c r="F19" s="30" t="s">
        <v>335</v>
      </c>
      <c r="G19" s="38" t="s">
        <v>335</v>
      </c>
      <c r="H19" s="30">
        <v>85.0</v>
      </c>
      <c r="I19" s="30">
        <v>10.0</v>
      </c>
      <c r="J19" s="38">
        <v>25.0</v>
      </c>
      <c r="K19" s="38">
        <v>31.0</v>
      </c>
      <c r="L19" s="38">
        <v>39.0</v>
      </c>
      <c r="M19" s="2">
        <v>40.0</v>
      </c>
    </row>
    <row r="22">
      <c r="A22" s="20"/>
    </row>
    <row r="23">
      <c r="A23" s="69"/>
      <c r="B23" s="20"/>
    </row>
    <row r="24" ht="22.5" customHeight="1">
      <c r="A24" s="29" t="s">
        <v>338</v>
      </c>
      <c r="B24" s="29" t="s">
        <v>343</v>
      </c>
    </row>
    <row r="25" ht="22.5" customHeight="1">
      <c r="A25" s="60" t="s">
        <v>346</v>
      </c>
      <c r="B25" s="60" t="s">
        <v>349</v>
      </c>
    </row>
    <row r="26" ht="22.5" customHeight="1">
      <c r="A26" s="74">
        <v>45968.0</v>
      </c>
      <c r="B26" s="60" t="s">
        <v>353</v>
      </c>
    </row>
    <row r="27" ht="22.5" customHeight="1">
      <c r="A27" s="75">
        <v>45976.0</v>
      </c>
      <c r="B27" s="60" t="s">
        <v>354</v>
      </c>
    </row>
    <row r="28" ht="22.5" customHeight="1">
      <c r="A28" s="75">
        <v>46010.0</v>
      </c>
      <c r="B28" s="60" t="s">
        <v>356</v>
      </c>
    </row>
    <row r="29" ht="22.5" customHeight="1">
      <c r="A29" s="77">
        <v>46143.0</v>
      </c>
      <c r="B29" s="60" t="s">
        <v>359</v>
      </c>
    </row>
    <row r="30" ht="22.5" customHeight="1">
      <c r="A30" s="77">
        <v>46143.0</v>
      </c>
      <c r="B30" s="60" t="s">
        <v>362</v>
      </c>
    </row>
    <row r="31" ht="22.5" customHeight="1">
      <c r="A31" s="77">
        <v>46143.0</v>
      </c>
      <c r="B31" s="60" t="s">
        <v>367</v>
      </c>
    </row>
    <row r="32" ht="22.5" customHeight="1">
      <c r="A32" s="78">
        <v>46235.0</v>
      </c>
      <c r="B32" s="60" t="s">
        <v>368</v>
      </c>
    </row>
    <row r="33" ht="22.5" customHeight="1">
      <c r="A33" s="78">
        <v>46271.0</v>
      </c>
      <c r="B33" s="60" t="s">
        <v>369</v>
      </c>
    </row>
    <row r="34" ht="22.5" customHeight="1">
      <c r="A34" s="78">
        <v>46276.0</v>
      </c>
      <c r="B34" s="60" t="s">
        <v>370</v>
      </c>
    </row>
    <row r="37" ht="21.0" customHeight="1"/>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sheetData>
  <hyperlinks>
    <hyperlink r:id="rId1" location="gid=799020739" ref="F1"/>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63"/>
    <col customWidth="1" min="2" max="2" width="20.5"/>
  </cols>
  <sheetData>
    <row r="1">
      <c r="A1" s="2" t="s">
        <v>1</v>
      </c>
      <c r="B1" s="4" t="s">
        <v>2</v>
      </c>
      <c r="C1" s="5" t="s">
        <v>4</v>
      </c>
      <c r="D1" s="5"/>
      <c r="E1" s="5"/>
    </row>
    <row r="2">
      <c r="A2" s="2" t="s">
        <v>5</v>
      </c>
      <c r="B2" s="7">
        <v>45701.91805555556</v>
      </c>
      <c r="C2" s="10"/>
      <c r="E2" s="11"/>
    </row>
    <row r="3">
      <c r="A3" s="2" t="s">
        <v>13</v>
      </c>
      <c r="B3" s="7">
        <v>45701.97430555556</v>
      </c>
      <c r="C3" s="10"/>
      <c r="E3" s="11"/>
    </row>
    <row r="4">
      <c r="A4" s="2" t="s">
        <v>17</v>
      </c>
      <c r="B4" s="7">
        <v>45702.74930555555</v>
      </c>
      <c r="C4" s="10"/>
      <c r="E4" s="11"/>
    </row>
    <row r="5">
      <c r="A5" s="2" t="s">
        <v>19</v>
      </c>
      <c r="B5" s="7">
        <v>45713.597916666666</v>
      </c>
      <c r="C5" s="10"/>
      <c r="E5" s="11"/>
    </row>
    <row r="6">
      <c r="A6" s="2" t="s">
        <v>22</v>
      </c>
      <c r="B6" s="7">
        <v>45714.410416666666</v>
      </c>
      <c r="C6" s="13"/>
      <c r="E6" s="11"/>
    </row>
    <row r="7">
      <c r="A7" s="2" t="s">
        <v>25</v>
      </c>
      <c r="B7" s="7">
        <v>45715.774305555555</v>
      </c>
      <c r="C7" s="10"/>
      <c r="E7" s="11"/>
    </row>
    <row r="8">
      <c r="A8" s="2" t="s">
        <v>28</v>
      </c>
      <c r="B8" s="7">
        <v>45847.970138888886</v>
      </c>
      <c r="C8" s="13"/>
      <c r="E8" s="11"/>
    </row>
    <row r="9">
      <c r="A9" s="2" t="s">
        <v>31</v>
      </c>
      <c r="B9" s="7">
        <v>45848.455555555556</v>
      </c>
      <c r="C9" s="13"/>
      <c r="E9" s="11"/>
    </row>
    <row r="10">
      <c r="A10" s="2" t="s">
        <v>33</v>
      </c>
      <c r="B10" s="7">
        <v>45848.82916666667</v>
      </c>
      <c r="C10" s="13"/>
      <c r="E10" s="11"/>
    </row>
    <row r="11">
      <c r="A11" s="2" t="s">
        <v>36</v>
      </c>
      <c r="B11" s="7">
        <v>45849.92638888889</v>
      </c>
      <c r="C11" s="13"/>
      <c r="E11" s="11"/>
    </row>
    <row r="12">
      <c r="A12" s="2" t="s">
        <v>38</v>
      </c>
      <c r="B12" s="7">
        <v>45851.36319444444</v>
      </c>
      <c r="C12" s="13"/>
      <c r="E12" s="11"/>
    </row>
    <row r="13">
      <c r="A13" s="2" t="s">
        <v>40</v>
      </c>
      <c r="B13" s="7">
        <v>45851.433333333334</v>
      </c>
      <c r="C13" s="13"/>
      <c r="E13" s="11"/>
    </row>
    <row r="14">
      <c r="A14" s="2" t="s">
        <v>42</v>
      </c>
      <c r="B14" s="7">
        <v>45851.83888888889</v>
      </c>
      <c r="C14" s="13"/>
      <c r="E14" s="11"/>
    </row>
    <row r="15">
      <c r="A15" s="2" t="s">
        <v>44</v>
      </c>
      <c r="B15" s="7">
        <v>45852.98888888889</v>
      </c>
      <c r="C15" s="16" t="s">
        <v>48</v>
      </c>
      <c r="E15" s="11"/>
    </row>
    <row r="16">
      <c r="A16" s="2" t="s">
        <v>53</v>
      </c>
      <c r="B16" s="7">
        <v>45853.955555555556</v>
      </c>
      <c r="C16" s="13"/>
      <c r="E16" s="11"/>
    </row>
    <row r="17">
      <c r="A17" s="2" t="s">
        <v>56</v>
      </c>
      <c r="B17" s="7">
        <v>45858.01527777778</v>
      </c>
      <c r="C17" s="13"/>
      <c r="E17" s="11"/>
    </row>
    <row r="18">
      <c r="A18" s="2" t="s">
        <v>58</v>
      </c>
      <c r="B18" s="7">
        <v>45859.02916666667</v>
      </c>
      <c r="C18" s="10"/>
      <c r="E18" s="11"/>
    </row>
    <row r="19">
      <c r="A19" s="2" t="s">
        <v>61</v>
      </c>
      <c r="B19" s="7">
        <v>45863.50277777778</v>
      </c>
      <c r="C19" s="10"/>
      <c r="E19" s="11"/>
    </row>
    <row r="20">
      <c r="A20" s="2" t="s">
        <v>62</v>
      </c>
      <c r="B20" s="7">
        <v>45876.82777777778</v>
      </c>
      <c r="C20" s="13"/>
      <c r="E20" s="11"/>
    </row>
    <row r="21">
      <c r="A21" s="2" t="s">
        <v>64</v>
      </c>
      <c r="B21" s="7">
        <v>45926.89722222222</v>
      </c>
      <c r="C21" s="13"/>
      <c r="E21" s="11"/>
    </row>
    <row r="22">
      <c r="A22" s="2" t="s">
        <v>66</v>
      </c>
      <c r="B22" s="7">
        <v>45954.58611111111</v>
      </c>
      <c r="C22" s="10"/>
      <c r="E22" s="11"/>
    </row>
    <row r="23">
      <c r="A23" s="2" t="s">
        <v>68</v>
      </c>
      <c r="B23" s="7">
        <v>45957.45277777778</v>
      </c>
      <c r="C23" s="13"/>
      <c r="E23" s="11"/>
    </row>
    <row r="24">
      <c r="A24" s="2" t="s">
        <v>72</v>
      </c>
      <c r="B24" s="7">
        <v>45960.94097222222</v>
      </c>
      <c r="C24" s="10"/>
      <c r="E24" s="11"/>
    </row>
    <row r="25">
      <c r="A25" s="2" t="s">
        <v>74</v>
      </c>
      <c r="B25" s="7">
        <v>45961.56875</v>
      </c>
      <c r="C25" s="10"/>
      <c r="E25" s="11"/>
    </row>
    <row r="26">
      <c r="A26" s="2" t="s">
        <v>77</v>
      </c>
      <c r="B26" s="7">
        <v>45962.683333333334</v>
      </c>
      <c r="C26" s="13"/>
      <c r="E26" s="11"/>
    </row>
    <row r="27">
      <c r="A27" s="2" t="s">
        <v>79</v>
      </c>
      <c r="B27" s="7">
        <v>45966.97361111111</v>
      </c>
      <c r="C27" s="10"/>
      <c r="E27" s="11"/>
    </row>
    <row r="28">
      <c r="A28" s="2" t="s">
        <v>82</v>
      </c>
      <c r="B28" s="7">
        <v>45966.97430555556</v>
      </c>
      <c r="C28" s="10"/>
      <c r="E28" s="11"/>
    </row>
    <row r="29">
      <c r="A29" s="2" t="s">
        <v>85</v>
      </c>
      <c r="B29" s="7">
        <v>45967.91111111111</v>
      </c>
      <c r="C29" s="10"/>
      <c r="E29" s="11"/>
    </row>
    <row r="30">
      <c r="A30" s="2" t="s">
        <v>88</v>
      </c>
      <c r="B30" s="7">
        <v>45969.69027777778</v>
      </c>
      <c r="C30" s="10"/>
      <c r="E30" s="11"/>
    </row>
    <row r="31">
      <c r="A31" s="2" t="s">
        <v>91</v>
      </c>
      <c r="B31" s="7">
        <v>45970.37152777778</v>
      </c>
      <c r="C31" s="10"/>
      <c r="E31" s="11"/>
    </row>
    <row r="32">
      <c r="A32" s="2" t="s">
        <v>94</v>
      </c>
      <c r="B32" s="7">
        <v>45970.70625</v>
      </c>
      <c r="C32" s="10"/>
      <c r="E32" s="11"/>
    </row>
    <row r="33">
      <c r="A33" s="2" t="s">
        <v>97</v>
      </c>
      <c r="B33" s="7">
        <v>45971.794444444444</v>
      </c>
      <c r="C33" s="10"/>
      <c r="E33" s="11"/>
    </row>
    <row r="34">
      <c r="A34" s="2" t="s">
        <v>101</v>
      </c>
      <c r="B34" s="7">
        <v>45971.981944444444</v>
      </c>
      <c r="C34" s="10"/>
      <c r="E34" s="11"/>
    </row>
    <row r="35">
      <c r="A35" s="2" t="s">
        <v>105</v>
      </c>
      <c r="B35" s="7">
        <v>45972.67152777778</v>
      </c>
      <c r="C35" s="10"/>
      <c r="E35" s="11"/>
    </row>
    <row r="36">
      <c r="A36" s="2" t="s">
        <v>109</v>
      </c>
      <c r="B36" s="7">
        <v>45988.785416666666</v>
      </c>
      <c r="C36" s="10"/>
      <c r="E36" s="11"/>
    </row>
    <row r="37">
      <c r="A37" s="2" t="s">
        <v>113</v>
      </c>
      <c r="B37" s="7">
        <v>45994.768055555556</v>
      </c>
      <c r="C37" s="13"/>
      <c r="E37" s="11"/>
    </row>
    <row r="38">
      <c r="A38" s="2" t="s">
        <v>117</v>
      </c>
      <c r="B38" s="7">
        <v>45999.771527777775</v>
      </c>
      <c r="C38" s="13"/>
      <c r="E38" s="11"/>
    </row>
    <row r="39">
      <c r="A39" s="2" t="s">
        <v>120</v>
      </c>
      <c r="B39" s="7">
        <v>46000.861805555556</v>
      </c>
      <c r="C39" s="10"/>
      <c r="E39" s="11"/>
    </row>
    <row r="40">
      <c r="A40" s="2" t="s">
        <v>123</v>
      </c>
      <c r="B40" s="7">
        <v>46010.64236111111</v>
      </c>
      <c r="C40" s="16" t="s">
        <v>48</v>
      </c>
      <c r="E40" s="11"/>
    </row>
    <row r="41">
      <c r="A41" s="2" t="s">
        <v>126</v>
      </c>
      <c r="B41" s="7">
        <v>46013.7875</v>
      </c>
      <c r="C41" s="10"/>
      <c r="E41" s="11"/>
    </row>
    <row r="42">
      <c r="A42" s="2" t="s">
        <v>129</v>
      </c>
      <c r="B42" s="7">
        <v>46034.95277777778</v>
      </c>
      <c r="C42" s="10"/>
      <c r="E42" s="11"/>
    </row>
    <row r="43">
      <c r="A43" s="2" t="s">
        <v>133</v>
      </c>
      <c r="B43" s="7">
        <v>46035.90138888889</v>
      </c>
      <c r="C43" s="10"/>
      <c r="E43" s="11"/>
    </row>
    <row r="44">
      <c r="A44" s="2" t="s">
        <v>135</v>
      </c>
      <c r="B44" s="7">
        <v>46036.74236111111</v>
      </c>
      <c r="C44" s="10"/>
      <c r="E44" s="11"/>
    </row>
    <row r="45">
      <c r="A45" s="2" t="s">
        <v>137</v>
      </c>
      <c r="B45" s="7">
        <v>46036.74444444444</v>
      </c>
      <c r="C45" s="10"/>
      <c r="E45" s="11"/>
    </row>
    <row r="46">
      <c r="A46" s="2" t="s">
        <v>140</v>
      </c>
      <c r="B46" s="7">
        <v>46037.80902777778</v>
      </c>
      <c r="C46" s="10"/>
      <c r="E46" s="11"/>
    </row>
    <row r="47">
      <c r="A47" s="2" t="s">
        <v>142</v>
      </c>
      <c r="B47" s="7">
        <v>46037.80972222222</v>
      </c>
      <c r="C47" s="10"/>
      <c r="E47" s="11"/>
    </row>
    <row r="48">
      <c r="A48" s="2" t="s">
        <v>144</v>
      </c>
      <c r="B48" s="7">
        <v>46038.82430555556</v>
      </c>
      <c r="C48" s="10"/>
      <c r="E48" s="11"/>
    </row>
    <row r="49">
      <c r="A49" s="2" t="s">
        <v>146</v>
      </c>
      <c r="B49" s="7">
        <v>46040.60902777778</v>
      </c>
      <c r="C49" s="10"/>
      <c r="E49" s="11"/>
    </row>
    <row r="50">
      <c r="A50" s="2" t="s">
        <v>149</v>
      </c>
      <c r="B50" s="7">
        <v>46041.87569444445</v>
      </c>
      <c r="C50" s="10"/>
      <c r="E50" s="11"/>
    </row>
    <row r="51">
      <c r="A51" s="2" t="s">
        <v>151</v>
      </c>
      <c r="B51" s="7">
        <v>46042.36666666667</v>
      </c>
      <c r="C51" s="10"/>
      <c r="E51" s="11"/>
    </row>
    <row r="52">
      <c r="A52" s="2" t="s">
        <v>154</v>
      </c>
      <c r="B52" s="7">
        <v>46042.37013888889</v>
      </c>
      <c r="C52" s="10"/>
      <c r="E52" s="11"/>
    </row>
    <row r="53">
      <c r="A53" s="2" t="s">
        <v>158</v>
      </c>
      <c r="B53" s="7">
        <v>46042.37847222222</v>
      </c>
      <c r="C53" s="10"/>
      <c r="E53" s="11"/>
    </row>
    <row r="54">
      <c r="A54" s="2" t="s">
        <v>160</v>
      </c>
      <c r="B54" s="7">
        <v>46050.88333333333</v>
      </c>
      <c r="C54" s="13"/>
      <c r="E54" s="11"/>
    </row>
    <row r="55">
      <c r="A55" s="2" t="s">
        <v>165</v>
      </c>
      <c r="B55" s="7">
        <v>46055.603472222225</v>
      </c>
      <c r="C55" s="10"/>
      <c r="E55" s="11"/>
    </row>
    <row r="56">
      <c r="A56" s="2" t="s">
        <v>171</v>
      </c>
      <c r="B56" s="7">
        <v>46065.95763888889</v>
      </c>
      <c r="C56" s="13"/>
      <c r="E56" s="11"/>
    </row>
    <row r="57">
      <c r="A57" s="2" t="s">
        <v>174</v>
      </c>
      <c r="B57" s="7">
        <v>46079.93263888889</v>
      </c>
      <c r="C57" s="10"/>
      <c r="E57" s="11"/>
    </row>
    <row r="58">
      <c r="A58" s="2" t="s">
        <v>177</v>
      </c>
      <c r="B58" s="7">
        <v>46080.748611111114</v>
      </c>
      <c r="C58" s="10"/>
      <c r="E58" s="11"/>
    </row>
    <row r="59">
      <c r="A59" s="2" t="s">
        <v>179</v>
      </c>
      <c r="B59" s="7">
        <v>46102.779861111114</v>
      </c>
      <c r="C59" s="10"/>
      <c r="E59" s="11"/>
    </row>
    <row r="60">
      <c r="A60" s="2" t="s">
        <v>182</v>
      </c>
      <c r="B60" s="7">
        <v>46103.50902777778</v>
      </c>
      <c r="C60" s="10"/>
      <c r="E60" s="11"/>
    </row>
    <row r="61">
      <c r="A61" s="2" t="s">
        <v>184</v>
      </c>
      <c r="B61" s="7">
        <v>46104.94513888889</v>
      </c>
      <c r="C61" s="16" t="s">
        <v>48</v>
      </c>
      <c r="E61" s="11"/>
    </row>
    <row r="62">
      <c r="A62" s="2" t="s">
        <v>188</v>
      </c>
      <c r="B62" s="7">
        <v>46105.79513888889</v>
      </c>
      <c r="C62" s="16" t="s">
        <v>48</v>
      </c>
      <c r="E62" s="11"/>
    </row>
    <row r="63">
      <c r="A63" s="2" t="s">
        <v>190</v>
      </c>
      <c r="B63" s="7">
        <v>46110.54027777778</v>
      </c>
      <c r="C63" s="10"/>
      <c r="E63" s="11"/>
    </row>
    <row r="64">
      <c r="A64" s="2" t="s">
        <v>192</v>
      </c>
      <c r="B64" s="7">
        <v>46110.90625</v>
      </c>
      <c r="C64" s="10"/>
      <c r="E64" s="11"/>
    </row>
    <row r="65">
      <c r="A65" s="2" t="s">
        <v>200</v>
      </c>
      <c r="B65" s="7">
        <v>46118.759722222225</v>
      </c>
      <c r="C65" s="10"/>
      <c r="E65" s="11"/>
    </row>
    <row r="66">
      <c r="A66" s="2" t="s">
        <v>208</v>
      </c>
      <c r="B66" s="7">
        <v>46120.94930555556</v>
      </c>
      <c r="C66" s="10"/>
      <c r="E66" s="11"/>
    </row>
    <row r="67">
      <c r="A67" s="2" t="s">
        <v>210</v>
      </c>
      <c r="B67" s="7">
        <v>46129.98819444444</v>
      </c>
      <c r="C67" s="16" t="s">
        <v>48</v>
      </c>
      <c r="E67" s="11"/>
    </row>
    <row r="68">
      <c r="A68" s="2" t="s">
        <v>213</v>
      </c>
      <c r="B68" s="7">
        <v>46154.972916666666</v>
      </c>
      <c r="C68" s="10"/>
      <c r="E68" s="11"/>
    </row>
    <row r="69">
      <c r="A69" s="2" t="s">
        <v>216</v>
      </c>
      <c r="B69" s="7">
        <v>46155.98888888889</v>
      </c>
      <c r="C69" s="10"/>
      <c r="E69" s="11"/>
    </row>
    <row r="70">
      <c r="A70" s="2" t="s">
        <v>218</v>
      </c>
      <c r="B70" s="7">
        <v>46160.78194444445</v>
      </c>
      <c r="C70" s="10"/>
      <c r="E70" s="11"/>
    </row>
    <row r="71">
      <c r="A71" s="2" t="s">
        <v>221</v>
      </c>
      <c r="B71" s="7">
        <v>46162.73125</v>
      </c>
      <c r="C71" s="10"/>
      <c r="E71" s="11"/>
    </row>
    <row r="72">
      <c r="A72" s="2" t="s">
        <v>224</v>
      </c>
      <c r="B72" s="7">
        <v>46163.92152777778</v>
      </c>
      <c r="C72" s="10"/>
      <c r="E72" s="11"/>
    </row>
    <row r="73">
      <c r="A73" s="2" t="s">
        <v>227</v>
      </c>
      <c r="B73" s="7">
        <v>46167.73472222222</v>
      </c>
      <c r="C73" s="10"/>
      <c r="E73" s="11"/>
    </row>
    <row r="74">
      <c r="A74" s="2" t="s">
        <v>229</v>
      </c>
      <c r="B74" s="7">
        <v>46169.98333333333</v>
      </c>
      <c r="C74" s="10"/>
      <c r="E74" s="11"/>
    </row>
    <row r="75">
      <c r="A75" s="2" t="s">
        <v>230</v>
      </c>
      <c r="B75" s="7">
        <v>46170.736805555556</v>
      </c>
      <c r="C75" s="10"/>
      <c r="E75" s="11"/>
    </row>
    <row r="76">
      <c r="A76" s="2" t="s">
        <v>231</v>
      </c>
      <c r="B76" s="7">
        <v>46172.419444444444</v>
      </c>
      <c r="C76" s="10"/>
      <c r="E76" s="11"/>
    </row>
    <row r="77">
      <c r="A77" s="2" t="s">
        <v>233</v>
      </c>
      <c r="B77" s="7">
        <v>46173.638194444444</v>
      </c>
      <c r="C77" s="10"/>
      <c r="E77" s="11"/>
    </row>
    <row r="78">
      <c r="A78" s="39" t="s">
        <v>237</v>
      </c>
      <c r="B78" s="7">
        <v>46175.97152777778</v>
      </c>
      <c r="C78" s="10"/>
      <c r="E78" s="11"/>
    </row>
    <row r="79">
      <c r="A79" s="39" t="s">
        <v>242</v>
      </c>
      <c r="B79" s="7">
        <v>46178.89513888889</v>
      </c>
      <c r="C79" s="10"/>
      <c r="E79" s="11"/>
    </row>
    <row r="80">
      <c r="A80" s="39" t="s">
        <v>245</v>
      </c>
      <c r="B80" s="7">
        <v>46181.50069444445</v>
      </c>
      <c r="C80" s="10"/>
      <c r="E80" s="11"/>
    </row>
    <row r="81">
      <c r="A81" s="39" t="s">
        <v>247</v>
      </c>
      <c r="B81" s="7">
        <v>46183.89861111111</v>
      </c>
      <c r="C81" s="10"/>
      <c r="E81" s="11"/>
    </row>
    <row r="82">
      <c r="A82" s="2" t="s">
        <v>248</v>
      </c>
      <c r="B82" s="7">
        <v>46184.39791666667</v>
      </c>
      <c r="C82" s="42"/>
      <c r="E82" s="43"/>
    </row>
    <row r="83">
      <c r="A83" s="2" t="s">
        <v>253</v>
      </c>
      <c r="B83" s="7">
        <v>46185.529861111114</v>
      </c>
      <c r="C83" s="42"/>
      <c r="E83" s="43"/>
    </row>
    <row r="84">
      <c r="A84" s="2" t="s">
        <v>254</v>
      </c>
      <c r="B84" s="7">
        <v>46186.37430555555</v>
      </c>
      <c r="C84" s="10"/>
      <c r="E84" s="11"/>
    </row>
    <row r="85">
      <c r="A85" s="2" t="s">
        <v>257</v>
      </c>
      <c r="B85" s="7">
        <v>46191.97152777778</v>
      </c>
      <c r="C85" s="10"/>
      <c r="E85" s="11"/>
    </row>
    <row r="86">
      <c r="A86" s="2" t="s">
        <v>258</v>
      </c>
      <c r="B86" s="7">
        <v>46197.350694444445</v>
      </c>
      <c r="C86" s="10"/>
      <c r="E86" s="11"/>
    </row>
    <row r="87">
      <c r="A87" s="2" t="s">
        <v>259</v>
      </c>
      <c r="B87" s="7">
        <v>46207.654861111114</v>
      </c>
      <c r="C87" s="10"/>
      <c r="E87" s="11"/>
    </row>
    <row r="88">
      <c r="A88" s="2" t="s">
        <v>260</v>
      </c>
      <c r="B88" s="7">
        <v>46212.92291666667</v>
      </c>
      <c r="C88" s="10"/>
      <c r="E88" s="11"/>
    </row>
    <row r="89">
      <c r="A89" s="2" t="s">
        <v>261</v>
      </c>
      <c r="B89" s="7">
        <v>46214.955555555556</v>
      </c>
      <c r="C89" s="10"/>
      <c r="E89" s="11"/>
    </row>
    <row r="90">
      <c r="A90" s="2" t="s">
        <v>263</v>
      </c>
      <c r="B90" s="7">
        <v>46229.96319444444</v>
      </c>
      <c r="C90" s="10"/>
      <c r="E90" s="11"/>
    </row>
    <row r="91">
      <c r="A91" s="2" t="s">
        <v>264</v>
      </c>
      <c r="B91" s="7">
        <v>46232.76736111111</v>
      </c>
      <c r="C91" s="10"/>
      <c r="E91" s="11"/>
    </row>
    <row r="92">
      <c r="A92" s="2" t="s">
        <v>266</v>
      </c>
      <c r="B92" s="7">
        <v>46240.50069444445</v>
      </c>
      <c r="C92" s="10"/>
      <c r="E92" s="11"/>
    </row>
    <row r="93">
      <c r="A93" s="2" t="s">
        <v>267</v>
      </c>
      <c r="B93" s="7">
        <v>46261.31319444445</v>
      </c>
      <c r="C93" s="10"/>
      <c r="E93" s="11"/>
    </row>
    <row r="94">
      <c r="A94" s="2" t="s">
        <v>269</v>
      </c>
      <c r="B94" s="7">
        <v>46270.381944444445</v>
      </c>
      <c r="C94" s="10"/>
      <c r="E94" s="11"/>
    </row>
    <row r="95">
      <c r="A95" s="2" t="s">
        <v>270</v>
      </c>
      <c r="B95" s="7">
        <v>46272.73472222222</v>
      </c>
      <c r="C95" s="42" t="s">
        <v>48</v>
      </c>
      <c r="E95" s="11"/>
    </row>
    <row r="96">
      <c r="A96" s="2" t="s">
        <v>272</v>
      </c>
      <c r="B96" s="7">
        <v>46276.32638888889</v>
      </c>
      <c r="C96" s="10"/>
      <c r="E96" s="11"/>
    </row>
    <row r="97">
      <c r="A97" s="2" t="s">
        <v>274</v>
      </c>
      <c r="B97" s="7">
        <v>46282.32708333333</v>
      </c>
      <c r="C97" s="10"/>
      <c r="E97" s="11"/>
    </row>
    <row r="98">
      <c r="A98" s="2" t="s">
        <v>277</v>
      </c>
      <c r="B98" s="7">
        <v>46285.520833333336</v>
      </c>
      <c r="C98" s="10"/>
      <c r="E98" s="11"/>
    </row>
    <row r="99">
      <c r="B99" s="48"/>
      <c r="C99" s="10"/>
      <c r="E99" s="11"/>
    </row>
    <row r="100">
      <c r="B100" s="48"/>
      <c r="C100" s="10"/>
      <c r="E100" s="11"/>
    </row>
    <row r="101">
      <c r="B101" s="48"/>
      <c r="C101" s="10"/>
      <c r="E101" s="11"/>
    </row>
    <row r="102">
      <c r="B102" s="48"/>
      <c r="C102" s="10"/>
      <c r="E102" s="11"/>
    </row>
    <row r="103">
      <c r="B103" s="48"/>
      <c r="C103" s="10"/>
      <c r="E103" s="11"/>
    </row>
    <row r="104">
      <c r="B104" s="48"/>
      <c r="C104" s="10"/>
      <c r="E104" s="11"/>
    </row>
    <row r="105">
      <c r="B105" s="48"/>
      <c r="C105" s="10"/>
      <c r="E105" s="11"/>
    </row>
    <row r="106">
      <c r="B106" s="48"/>
      <c r="C106" s="10"/>
      <c r="E106" s="11"/>
    </row>
    <row r="107">
      <c r="B107" s="48"/>
      <c r="C107" s="10"/>
      <c r="E107" s="11"/>
    </row>
    <row r="108">
      <c r="B108" s="48"/>
      <c r="C108" s="10"/>
      <c r="E108" s="11"/>
    </row>
    <row r="109">
      <c r="A109" s="2" t="s">
        <v>4</v>
      </c>
      <c r="B109" s="48"/>
      <c r="C109" s="10"/>
      <c r="E109" s="11"/>
    </row>
    <row r="110">
      <c r="A110" s="2" t="s">
        <v>284</v>
      </c>
      <c r="B110" s="48"/>
      <c r="C110" s="10"/>
      <c r="E110" s="11"/>
    </row>
    <row r="111">
      <c r="B111" s="48"/>
      <c r="C111" s="10"/>
      <c r="E111" s="11"/>
    </row>
    <row r="112">
      <c r="A112" s="2" t="s">
        <v>288</v>
      </c>
      <c r="B112" s="48"/>
      <c r="C112" s="10"/>
      <c r="E112" s="11"/>
    </row>
    <row r="113">
      <c r="A113" s="2" t="s">
        <v>289</v>
      </c>
      <c r="B113" s="48"/>
      <c r="C113" s="10"/>
      <c r="E113" s="11"/>
    </row>
    <row r="114">
      <c r="B114" s="48"/>
      <c r="C114" s="10"/>
      <c r="E114" s="11"/>
    </row>
    <row r="115">
      <c r="B115" s="48"/>
      <c r="C115" s="10"/>
      <c r="E115" s="11"/>
    </row>
    <row r="116">
      <c r="B116" s="48"/>
      <c r="C116" s="10"/>
      <c r="E116" s="11"/>
    </row>
    <row r="117">
      <c r="B117" s="48"/>
      <c r="C117" s="10"/>
      <c r="E117" s="11"/>
    </row>
    <row r="118">
      <c r="B118" s="48"/>
      <c r="C118" s="10"/>
      <c r="E118" s="11"/>
    </row>
    <row r="119">
      <c r="B119" s="48"/>
      <c r="C119" s="10"/>
      <c r="E119" s="11"/>
    </row>
    <row r="120">
      <c r="B120" s="48"/>
      <c r="E120" s="11"/>
    </row>
    <row r="121">
      <c r="B121" s="48"/>
      <c r="E121" s="11"/>
    </row>
    <row r="122">
      <c r="B122" s="48"/>
      <c r="E122" s="11"/>
    </row>
    <row r="123">
      <c r="B123" s="48"/>
      <c r="E123" s="11"/>
    </row>
    <row r="124">
      <c r="B124" s="48"/>
      <c r="E124" s="11"/>
    </row>
    <row r="125">
      <c r="B125" s="48"/>
      <c r="E125" s="11"/>
    </row>
    <row r="126">
      <c r="B126" s="48"/>
      <c r="E126" s="11"/>
    </row>
    <row r="127">
      <c r="B127" s="48"/>
      <c r="E127" s="11"/>
    </row>
    <row r="128">
      <c r="B128" s="48"/>
      <c r="E128" s="11"/>
    </row>
    <row r="129">
      <c r="B129" s="48"/>
      <c r="E129" s="11"/>
    </row>
    <row r="130">
      <c r="B130" s="48"/>
    </row>
    <row r="131">
      <c r="B131" s="48"/>
    </row>
    <row r="132">
      <c r="B132" s="48"/>
    </row>
    <row r="133">
      <c r="B133" s="48"/>
    </row>
    <row r="134">
      <c r="B134" s="48"/>
    </row>
    <row r="135">
      <c r="B135" s="48"/>
    </row>
    <row r="136">
      <c r="B136" s="48"/>
    </row>
    <row r="137">
      <c r="B137" s="48"/>
    </row>
    <row r="138">
      <c r="B138" s="48"/>
    </row>
    <row r="139">
      <c r="B139" s="48"/>
    </row>
    <row r="140">
      <c r="B140" s="48"/>
    </row>
    <row r="141">
      <c r="B141" s="48"/>
    </row>
    <row r="142">
      <c r="B142" s="48"/>
    </row>
    <row r="143">
      <c r="B143" s="48"/>
    </row>
    <row r="144">
      <c r="B144" s="48"/>
    </row>
    <row r="145">
      <c r="B145" s="48"/>
    </row>
    <row r="146">
      <c r="B146" s="48"/>
    </row>
    <row r="147">
      <c r="B147" s="48"/>
    </row>
    <row r="148">
      <c r="B148" s="48"/>
    </row>
    <row r="149">
      <c r="B149" s="48"/>
    </row>
    <row r="150">
      <c r="B150" s="48"/>
    </row>
    <row r="151">
      <c r="B151" s="48"/>
    </row>
    <row r="152">
      <c r="B152" s="48"/>
    </row>
    <row r="153">
      <c r="B153" s="48"/>
    </row>
    <row r="154">
      <c r="B154" s="48"/>
    </row>
    <row r="155">
      <c r="B155" s="48"/>
    </row>
    <row r="156">
      <c r="B156" s="48"/>
    </row>
    <row r="157">
      <c r="B157" s="48"/>
    </row>
    <row r="158">
      <c r="B158" s="48"/>
    </row>
    <row r="159">
      <c r="B159" s="48"/>
    </row>
    <row r="160">
      <c r="B160" s="48"/>
    </row>
    <row r="161">
      <c r="B161" s="48"/>
    </row>
    <row r="162">
      <c r="B162" s="48"/>
    </row>
    <row r="163">
      <c r="B163" s="48"/>
    </row>
    <row r="164">
      <c r="B164" s="48"/>
    </row>
    <row r="165">
      <c r="B165" s="48"/>
    </row>
    <row r="166">
      <c r="B166" s="48"/>
    </row>
    <row r="167">
      <c r="B167" s="48"/>
    </row>
    <row r="168">
      <c r="B168" s="48"/>
    </row>
    <row r="169">
      <c r="B169" s="48"/>
    </row>
    <row r="170">
      <c r="B170" s="48"/>
    </row>
    <row r="171">
      <c r="B171" s="48"/>
    </row>
    <row r="172">
      <c r="B172" s="48"/>
    </row>
    <row r="173">
      <c r="B173" s="48"/>
    </row>
    <row r="174">
      <c r="B174" s="48"/>
    </row>
    <row r="175">
      <c r="B175" s="48"/>
    </row>
    <row r="176">
      <c r="B176" s="48"/>
    </row>
    <row r="177">
      <c r="B177" s="48"/>
    </row>
    <row r="178">
      <c r="B178" s="48"/>
    </row>
    <row r="179">
      <c r="B179" s="48"/>
    </row>
    <row r="180">
      <c r="B180" s="48"/>
    </row>
    <row r="181">
      <c r="B181" s="48"/>
    </row>
    <row r="182">
      <c r="B182" s="48"/>
    </row>
    <row r="183">
      <c r="B183" s="48"/>
    </row>
    <row r="184">
      <c r="B184" s="48"/>
    </row>
    <row r="185">
      <c r="B185" s="48"/>
    </row>
    <row r="186">
      <c r="B186" s="48"/>
    </row>
    <row r="187">
      <c r="B187" s="48"/>
    </row>
    <row r="188">
      <c r="B188" s="48"/>
    </row>
    <row r="189">
      <c r="B189" s="48"/>
    </row>
    <row r="190">
      <c r="B190" s="48"/>
    </row>
    <row r="191">
      <c r="B191" s="48"/>
    </row>
    <row r="192">
      <c r="B192" s="48"/>
    </row>
    <row r="193">
      <c r="B193" s="48"/>
    </row>
    <row r="194">
      <c r="B194" s="48"/>
    </row>
    <row r="195">
      <c r="B195" s="48"/>
    </row>
    <row r="196">
      <c r="B196" s="48"/>
    </row>
    <row r="197">
      <c r="B197" s="48"/>
    </row>
    <row r="198">
      <c r="B198" s="48"/>
    </row>
    <row r="199">
      <c r="B199" s="48"/>
    </row>
    <row r="200">
      <c r="B200" s="48"/>
    </row>
    <row r="201">
      <c r="B201" s="48"/>
    </row>
    <row r="202">
      <c r="B202" s="48"/>
    </row>
    <row r="203">
      <c r="B203" s="48"/>
    </row>
    <row r="204">
      <c r="B204" s="48"/>
    </row>
    <row r="205">
      <c r="B205" s="48"/>
    </row>
    <row r="206">
      <c r="B206" s="48"/>
    </row>
    <row r="207">
      <c r="B207" s="48"/>
    </row>
    <row r="208">
      <c r="B208" s="48"/>
    </row>
    <row r="209">
      <c r="B209" s="48"/>
    </row>
    <row r="210">
      <c r="B210" s="48"/>
    </row>
    <row r="211">
      <c r="B211" s="48"/>
    </row>
    <row r="212">
      <c r="B212" s="48"/>
    </row>
    <row r="213">
      <c r="B213" s="48"/>
    </row>
    <row r="214">
      <c r="B214" s="48"/>
    </row>
    <row r="215">
      <c r="B215" s="48"/>
    </row>
    <row r="216">
      <c r="B216" s="48"/>
    </row>
    <row r="217">
      <c r="B217" s="48"/>
    </row>
    <row r="218">
      <c r="B218" s="48"/>
    </row>
    <row r="219">
      <c r="B219" s="48"/>
    </row>
    <row r="220">
      <c r="B220" s="48"/>
    </row>
    <row r="221">
      <c r="B221" s="48"/>
    </row>
    <row r="222">
      <c r="B222" s="48"/>
    </row>
    <row r="223">
      <c r="B223" s="48"/>
    </row>
    <row r="224">
      <c r="B224" s="48"/>
    </row>
    <row r="225">
      <c r="B225" s="48"/>
    </row>
    <row r="226">
      <c r="B226" s="48"/>
    </row>
    <row r="227">
      <c r="B227" s="48"/>
    </row>
    <row r="228">
      <c r="B228" s="48"/>
    </row>
    <row r="229">
      <c r="B229" s="48"/>
    </row>
    <row r="230">
      <c r="B230" s="48"/>
    </row>
    <row r="231">
      <c r="B231" s="48"/>
    </row>
    <row r="232">
      <c r="B232" s="48"/>
    </row>
    <row r="233">
      <c r="B233" s="48"/>
    </row>
    <row r="234">
      <c r="B234" s="48"/>
    </row>
    <row r="235">
      <c r="B235" s="48"/>
    </row>
    <row r="236">
      <c r="B236" s="48"/>
    </row>
    <row r="237">
      <c r="B237" s="48"/>
    </row>
    <row r="238">
      <c r="B238" s="48"/>
    </row>
    <row r="239">
      <c r="B239" s="48"/>
    </row>
    <row r="240">
      <c r="B240" s="48"/>
    </row>
    <row r="241">
      <c r="B241" s="48"/>
    </row>
    <row r="242">
      <c r="B242" s="48"/>
    </row>
    <row r="243">
      <c r="B243" s="48"/>
    </row>
    <row r="244">
      <c r="B244" s="48"/>
    </row>
    <row r="245">
      <c r="B245" s="48"/>
    </row>
    <row r="246">
      <c r="B246" s="48"/>
    </row>
    <row r="247">
      <c r="B247" s="48"/>
    </row>
    <row r="248">
      <c r="B248" s="48"/>
    </row>
    <row r="249">
      <c r="B249" s="48"/>
    </row>
    <row r="250">
      <c r="B250" s="48"/>
    </row>
    <row r="251">
      <c r="B251" s="48"/>
    </row>
    <row r="252">
      <c r="B252" s="48"/>
    </row>
    <row r="253">
      <c r="B253" s="48"/>
    </row>
    <row r="254">
      <c r="B254" s="48"/>
    </row>
    <row r="255">
      <c r="B255" s="48"/>
    </row>
    <row r="256">
      <c r="B256" s="48"/>
    </row>
    <row r="257">
      <c r="B257" s="48"/>
    </row>
    <row r="258">
      <c r="B258" s="48"/>
    </row>
    <row r="259">
      <c r="B259" s="48"/>
    </row>
    <row r="260">
      <c r="B260" s="48"/>
    </row>
    <row r="261">
      <c r="B261" s="48"/>
    </row>
    <row r="262">
      <c r="B262" s="48"/>
    </row>
    <row r="263">
      <c r="B263" s="48"/>
    </row>
    <row r="264">
      <c r="B264" s="48"/>
    </row>
    <row r="265">
      <c r="B265" s="48"/>
    </row>
    <row r="266">
      <c r="B266" s="48"/>
    </row>
    <row r="267">
      <c r="B267" s="48"/>
    </row>
    <row r="268">
      <c r="B268" s="48"/>
    </row>
    <row r="269">
      <c r="B269" s="48"/>
    </row>
    <row r="270">
      <c r="B270" s="48"/>
    </row>
    <row r="271">
      <c r="B271" s="48"/>
    </row>
    <row r="272">
      <c r="B272" s="48"/>
    </row>
    <row r="273">
      <c r="B273" s="48"/>
    </row>
    <row r="274">
      <c r="B274" s="48"/>
    </row>
    <row r="275">
      <c r="B275" s="48"/>
    </row>
    <row r="276">
      <c r="B276" s="48"/>
    </row>
    <row r="277">
      <c r="B277" s="48"/>
    </row>
    <row r="278">
      <c r="B278" s="48"/>
    </row>
    <row r="279">
      <c r="B279" s="48"/>
    </row>
    <row r="280">
      <c r="B280" s="48"/>
    </row>
    <row r="281">
      <c r="B281" s="48"/>
    </row>
    <row r="282">
      <c r="B282" s="48"/>
    </row>
    <row r="283">
      <c r="B283" s="48"/>
    </row>
    <row r="284">
      <c r="B284" s="48"/>
    </row>
    <row r="285">
      <c r="B285" s="48"/>
    </row>
    <row r="286">
      <c r="B286" s="48"/>
    </row>
    <row r="287">
      <c r="B287" s="48"/>
    </row>
    <row r="288">
      <c r="B288" s="48"/>
    </row>
    <row r="289">
      <c r="B289" s="48"/>
    </row>
    <row r="290">
      <c r="B290" s="48"/>
    </row>
    <row r="291">
      <c r="B291" s="48"/>
    </row>
    <row r="292">
      <c r="B292" s="48"/>
    </row>
    <row r="293">
      <c r="B293" s="48"/>
    </row>
    <row r="294">
      <c r="B294" s="48"/>
    </row>
    <row r="295">
      <c r="B295" s="48"/>
    </row>
    <row r="296">
      <c r="B296" s="48"/>
    </row>
    <row r="297">
      <c r="B297" s="48"/>
    </row>
    <row r="298">
      <c r="B298" s="48"/>
    </row>
    <row r="299">
      <c r="B299" s="48"/>
    </row>
    <row r="300">
      <c r="B300" s="48"/>
    </row>
    <row r="301">
      <c r="B301" s="48"/>
    </row>
    <row r="302">
      <c r="B302" s="48"/>
    </row>
    <row r="303">
      <c r="B303" s="48"/>
    </row>
    <row r="304">
      <c r="B304" s="48"/>
    </row>
    <row r="305">
      <c r="B305" s="48"/>
    </row>
    <row r="306">
      <c r="B306" s="48"/>
    </row>
    <row r="307">
      <c r="B307" s="48"/>
    </row>
    <row r="308">
      <c r="B308" s="48"/>
    </row>
    <row r="309">
      <c r="B309" s="48"/>
    </row>
    <row r="310">
      <c r="B310" s="48"/>
    </row>
    <row r="311">
      <c r="B311" s="48"/>
    </row>
    <row r="312">
      <c r="B312" s="48"/>
    </row>
    <row r="313">
      <c r="B313" s="48"/>
    </row>
    <row r="314">
      <c r="B314" s="48"/>
    </row>
    <row r="315">
      <c r="B315" s="48"/>
    </row>
    <row r="316">
      <c r="B316" s="48"/>
    </row>
    <row r="317">
      <c r="B317" s="48"/>
    </row>
    <row r="318">
      <c r="B318" s="48"/>
    </row>
    <row r="319">
      <c r="B319" s="48"/>
    </row>
    <row r="320">
      <c r="B320" s="48"/>
    </row>
    <row r="321">
      <c r="B321" s="48"/>
    </row>
    <row r="322">
      <c r="B322" s="48"/>
    </row>
    <row r="323">
      <c r="B323" s="48"/>
    </row>
    <row r="324">
      <c r="B324" s="48"/>
    </row>
    <row r="325">
      <c r="B325" s="48"/>
    </row>
    <row r="326">
      <c r="B326" s="48"/>
    </row>
    <row r="327">
      <c r="B327" s="48"/>
    </row>
    <row r="328">
      <c r="B328" s="48"/>
    </row>
    <row r="329">
      <c r="B329" s="48"/>
    </row>
    <row r="330">
      <c r="B330" s="48"/>
    </row>
    <row r="331">
      <c r="B331" s="48"/>
    </row>
    <row r="332">
      <c r="B332" s="48"/>
    </row>
    <row r="333">
      <c r="B333" s="48"/>
    </row>
    <row r="334">
      <c r="B334" s="48"/>
    </row>
    <row r="335">
      <c r="B335" s="48"/>
    </row>
    <row r="336">
      <c r="B336" s="48"/>
    </row>
    <row r="337">
      <c r="B337" s="48"/>
    </row>
    <row r="338">
      <c r="B338" s="48"/>
    </row>
    <row r="339">
      <c r="B339" s="48"/>
    </row>
    <row r="340">
      <c r="B340" s="48"/>
    </row>
    <row r="341">
      <c r="B341" s="48"/>
    </row>
    <row r="342">
      <c r="B342" s="48"/>
    </row>
    <row r="343">
      <c r="B343" s="48"/>
    </row>
    <row r="344">
      <c r="B344" s="48"/>
    </row>
    <row r="345">
      <c r="B345" s="48"/>
    </row>
    <row r="346">
      <c r="B346" s="48"/>
    </row>
    <row r="347">
      <c r="B347" s="48"/>
    </row>
    <row r="348">
      <c r="B348" s="48"/>
    </row>
    <row r="349">
      <c r="B349" s="48"/>
    </row>
    <row r="350">
      <c r="B350" s="48"/>
    </row>
    <row r="351">
      <c r="B351" s="48"/>
    </row>
    <row r="352">
      <c r="B352" s="48"/>
    </row>
    <row r="353">
      <c r="B353" s="48"/>
    </row>
    <row r="354">
      <c r="B354" s="48"/>
    </row>
    <row r="355">
      <c r="B355" s="48"/>
    </row>
    <row r="356">
      <c r="B356" s="48"/>
    </row>
    <row r="357">
      <c r="B357" s="48"/>
    </row>
    <row r="358">
      <c r="B358" s="48"/>
    </row>
    <row r="359">
      <c r="B359" s="48"/>
    </row>
    <row r="360">
      <c r="B360" s="48"/>
    </row>
    <row r="361">
      <c r="B361" s="48"/>
    </row>
    <row r="362">
      <c r="B362" s="48"/>
    </row>
    <row r="363">
      <c r="B363" s="48"/>
    </row>
    <row r="364">
      <c r="B364" s="48"/>
    </row>
    <row r="365">
      <c r="B365" s="48"/>
    </row>
    <row r="366">
      <c r="B366" s="48"/>
    </row>
    <row r="367">
      <c r="B367" s="48"/>
    </row>
    <row r="368">
      <c r="B368" s="48"/>
    </row>
    <row r="369">
      <c r="B369" s="48"/>
    </row>
    <row r="370">
      <c r="B370" s="48"/>
    </row>
    <row r="371">
      <c r="B371" s="48"/>
    </row>
    <row r="372">
      <c r="B372" s="48"/>
    </row>
    <row r="373">
      <c r="B373" s="48"/>
    </row>
    <row r="374">
      <c r="B374" s="48"/>
    </row>
    <row r="375">
      <c r="B375" s="48"/>
    </row>
    <row r="376">
      <c r="B376" s="48"/>
    </row>
    <row r="377">
      <c r="B377" s="48"/>
    </row>
    <row r="378">
      <c r="B378" s="48"/>
    </row>
    <row r="379">
      <c r="B379" s="48"/>
    </row>
    <row r="380">
      <c r="B380" s="48"/>
    </row>
    <row r="381">
      <c r="B381" s="48"/>
    </row>
    <row r="382">
      <c r="B382" s="48"/>
    </row>
    <row r="383">
      <c r="B383" s="48"/>
    </row>
    <row r="384">
      <c r="B384" s="48"/>
    </row>
    <row r="385">
      <c r="B385" s="48"/>
    </row>
    <row r="386">
      <c r="B386" s="48"/>
    </row>
    <row r="387">
      <c r="B387" s="48"/>
    </row>
    <row r="388">
      <c r="B388" s="48"/>
    </row>
    <row r="389">
      <c r="B389" s="48"/>
    </row>
    <row r="390">
      <c r="B390" s="48"/>
    </row>
    <row r="391">
      <c r="B391" s="48"/>
    </row>
    <row r="392">
      <c r="B392" s="48"/>
    </row>
    <row r="393">
      <c r="B393" s="48"/>
    </row>
    <row r="394">
      <c r="B394" s="48"/>
    </row>
    <row r="395">
      <c r="B395" s="48"/>
    </row>
    <row r="396">
      <c r="B396" s="48"/>
    </row>
    <row r="397">
      <c r="B397" s="48"/>
    </row>
    <row r="398">
      <c r="B398" s="48"/>
    </row>
    <row r="399">
      <c r="B399" s="48"/>
    </row>
    <row r="400">
      <c r="B400" s="48"/>
    </row>
    <row r="401">
      <c r="B401" s="48"/>
    </row>
    <row r="402">
      <c r="B402" s="48"/>
    </row>
    <row r="403">
      <c r="B403" s="48"/>
    </row>
    <row r="404">
      <c r="B404" s="48"/>
    </row>
    <row r="405">
      <c r="B405" s="48"/>
    </row>
    <row r="406">
      <c r="B406" s="48"/>
    </row>
    <row r="407">
      <c r="B407" s="48"/>
    </row>
    <row r="408">
      <c r="B408" s="48"/>
    </row>
    <row r="409">
      <c r="B409" s="48"/>
    </row>
    <row r="410">
      <c r="B410" s="48"/>
    </row>
    <row r="411">
      <c r="B411" s="48"/>
    </row>
    <row r="412">
      <c r="B412" s="48"/>
    </row>
    <row r="413">
      <c r="B413" s="48"/>
    </row>
    <row r="414">
      <c r="B414" s="48"/>
    </row>
    <row r="415">
      <c r="B415" s="48"/>
    </row>
    <row r="416">
      <c r="B416" s="48"/>
    </row>
    <row r="417">
      <c r="B417" s="48"/>
    </row>
    <row r="418">
      <c r="B418" s="48"/>
    </row>
    <row r="419">
      <c r="B419" s="48"/>
    </row>
    <row r="420">
      <c r="B420" s="48"/>
    </row>
    <row r="421">
      <c r="B421" s="48"/>
    </row>
    <row r="422">
      <c r="B422" s="48"/>
    </row>
    <row r="423">
      <c r="B423" s="48"/>
    </row>
    <row r="424">
      <c r="B424" s="48"/>
    </row>
    <row r="425">
      <c r="B425" s="48"/>
    </row>
    <row r="426">
      <c r="B426" s="48"/>
    </row>
    <row r="427">
      <c r="B427" s="48"/>
    </row>
    <row r="428">
      <c r="B428" s="48"/>
    </row>
    <row r="429">
      <c r="B429" s="48"/>
    </row>
    <row r="430">
      <c r="B430" s="48"/>
    </row>
    <row r="431">
      <c r="B431" s="48"/>
    </row>
    <row r="432">
      <c r="B432" s="48"/>
    </row>
    <row r="433">
      <c r="B433" s="48"/>
    </row>
    <row r="434">
      <c r="B434" s="48"/>
    </row>
    <row r="435">
      <c r="B435" s="48"/>
    </row>
    <row r="436">
      <c r="B436" s="48"/>
    </row>
    <row r="437">
      <c r="B437" s="48"/>
    </row>
    <row r="438">
      <c r="B438" s="48"/>
    </row>
    <row r="439">
      <c r="B439" s="48"/>
    </row>
    <row r="440">
      <c r="B440" s="48"/>
    </row>
    <row r="441">
      <c r="B441" s="48"/>
    </row>
    <row r="442">
      <c r="B442" s="48"/>
    </row>
    <row r="443">
      <c r="B443" s="48"/>
    </row>
    <row r="444">
      <c r="B444" s="48"/>
    </row>
    <row r="445">
      <c r="B445" s="48"/>
    </row>
    <row r="446">
      <c r="B446" s="48"/>
    </row>
    <row r="447">
      <c r="B447" s="48"/>
    </row>
    <row r="448">
      <c r="B448" s="48"/>
    </row>
    <row r="449">
      <c r="B449" s="48"/>
    </row>
    <row r="450">
      <c r="B450" s="48"/>
    </row>
    <row r="451">
      <c r="B451" s="48"/>
    </row>
    <row r="452">
      <c r="B452" s="48"/>
    </row>
    <row r="453">
      <c r="B453" s="48"/>
    </row>
    <row r="454">
      <c r="B454" s="48"/>
    </row>
    <row r="455">
      <c r="B455" s="48"/>
    </row>
    <row r="456">
      <c r="B456" s="48"/>
    </row>
    <row r="457">
      <c r="B457" s="48"/>
    </row>
    <row r="458">
      <c r="B458" s="48"/>
    </row>
    <row r="459">
      <c r="B459" s="48"/>
    </row>
    <row r="460">
      <c r="B460" s="48"/>
    </row>
    <row r="461">
      <c r="B461" s="48"/>
    </row>
    <row r="462">
      <c r="B462" s="48"/>
    </row>
    <row r="463">
      <c r="B463" s="48"/>
    </row>
    <row r="464">
      <c r="B464" s="48"/>
    </row>
    <row r="465">
      <c r="B465" s="48"/>
    </row>
    <row r="466">
      <c r="B466" s="48"/>
    </row>
    <row r="467">
      <c r="B467" s="48"/>
    </row>
    <row r="468">
      <c r="B468" s="48"/>
    </row>
    <row r="469">
      <c r="B469" s="48"/>
    </row>
    <row r="470">
      <c r="B470" s="48"/>
    </row>
    <row r="471">
      <c r="B471" s="48"/>
    </row>
    <row r="472">
      <c r="B472" s="48"/>
    </row>
    <row r="473">
      <c r="B473" s="48"/>
    </row>
    <row r="474">
      <c r="B474" s="48"/>
    </row>
    <row r="475">
      <c r="B475" s="48"/>
    </row>
    <row r="476">
      <c r="B476" s="48"/>
    </row>
    <row r="477">
      <c r="B477" s="48"/>
    </row>
    <row r="478">
      <c r="B478" s="48"/>
    </row>
    <row r="479">
      <c r="B479" s="48"/>
    </row>
    <row r="480">
      <c r="B480" s="48"/>
    </row>
    <row r="481">
      <c r="B481" s="48"/>
    </row>
    <row r="482">
      <c r="B482" s="48"/>
    </row>
    <row r="483">
      <c r="B483" s="48"/>
    </row>
    <row r="484">
      <c r="B484" s="48"/>
    </row>
    <row r="485">
      <c r="B485" s="48"/>
    </row>
    <row r="486">
      <c r="B486" s="48"/>
    </row>
    <row r="487">
      <c r="B487" s="48"/>
    </row>
    <row r="488">
      <c r="B488" s="48"/>
    </row>
    <row r="489">
      <c r="B489" s="48"/>
    </row>
    <row r="490">
      <c r="B490" s="48"/>
    </row>
    <row r="491">
      <c r="B491" s="48"/>
    </row>
    <row r="492">
      <c r="B492" s="48"/>
    </row>
    <row r="493">
      <c r="B493" s="48"/>
    </row>
    <row r="494">
      <c r="B494" s="48"/>
    </row>
    <row r="495">
      <c r="B495" s="48"/>
    </row>
    <row r="496">
      <c r="B496" s="48"/>
    </row>
    <row r="497">
      <c r="B497" s="48"/>
    </row>
    <row r="498">
      <c r="B498" s="48"/>
    </row>
    <row r="499">
      <c r="B499" s="48"/>
    </row>
    <row r="500">
      <c r="B500" s="48"/>
    </row>
    <row r="501">
      <c r="B501" s="48"/>
    </row>
    <row r="502">
      <c r="B502" s="48"/>
    </row>
    <row r="503">
      <c r="B503" s="48"/>
    </row>
    <row r="504">
      <c r="B504" s="48"/>
    </row>
    <row r="505">
      <c r="B505" s="48"/>
    </row>
    <row r="506">
      <c r="B506" s="48"/>
    </row>
    <row r="507">
      <c r="B507" s="48"/>
    </row>
    <row r="508">
      <c r="B508" s="48"/>
    </row>
    <row r="509">
      <c r="B509" s="48"/>
    </row>
    <row r="510">
      <c r="B510" s="48"/>
    </row>
    <row r="511">
      <c r="B511" s="48"/>
    </row>
    <row r="512">
      <c r="B512" s="48"/>
    </row>
    <row r="513">
      <c r="B513" s="48"/>
    </row>
    <row r="514">
      <c r="B514" s="48"/>
    </row>
    <row r="515">
      <c r="B515" s="48"/>
    </row>
    <row r="516">
      <c r="B516" s="48"/>
    </row>
    <row r="517">
      <c r="B517" s="48"/>
    </row>
    <row r="518">
      <c r="B518" s="48"/>
    </row>
    <row r="519">
      <c r="B519" s="48"/>
    </row>
    <row r="520">
      <c r="B520" s="48"/>
    </row>
    <row r="521">
      <c r="B521" s="48"/>
    </row>
    <row r="522">
      <c r="B522" s="48"/>
    </row>
    <row r="523">
      <c r="B523" s="48"/>
    </row>
    <row r="524">
      <c r="B524" s="48"/>
    </row>
    <row r="525">
      <c r="B525" s="48"/>
    </row>
    <row r="526">
      <c r="B526" s="48"/>
    </row>
    <row r="527">
      <c r="B527" s="48"/>
    </row>
    <row r="528">
      <c r="B528" s="48"/>
    </row>
    <row r="529">
      <c r="B529" s="48"/>
    </row>
    <row r="530">
      <c r="B530" s="48"/>
    </row>
    <row r="531">
      <c r="B531" s="48"/>
    </row>
    <row r="532">
      <c r="B532" s="48"/>
    </row>
    <row r="533">
      <c r="B533" s="48"/>
    </row>
    <row r="534">
      <c r="B534" s="48"/>
    </row>
    <row r="535">
      <c r="B535" s="48"/>
    </row>
    <row r="536">
      <c r="B536" s="48"/>
    </row>
    <row r="537">
      <c r="B537" s="48"/>
    </row>
    <row r="538">
      <c r="B538" s="48"/>
    </row>
    <row r="539">
      <c r="B539" s="48"/>
    </row>
    <row r="540">
      <c r="B540" s="48"/>
    </row>
    <row r="541">
      <c r="B541" s="48"/>
    </row>
    <row r="542">
      <c r="B542" s="48"/>
    </row>
    <row r="543">
      <c r="B543" s="48"/>
    </row>
    <row r="544">
      <c r="B544" s="48"/>
    </row>
    <row r="545">
      <c r="B545" s="48"/>
    </row>
    <row r="546">
      <c r="B546" s="48"/>
    </row>
    <row r="547">
      <c r="B547" s="48"/>
    </row>
    <row r="548">
      <c r="B548" s="48"/>
    </row>
    <row r="549">
      <c r="B549" s="48"/>
    </row>
    <row r="550">
      <c r="B550" s="48"/>
    </row>
    <row r="551">
      <c r="B551" s="48"/>
    </row>
    <row r="552">
      <c r="B552" s="48"/>
    </row>
    <row r="553">
      <c r="B553" s="48"/>
    </row>
    <row r="554">
      <c r="B554" s="48"/>
    </row>
    <row r="555">
      <c r="B555" s="48"/>
    </row>
    <row r="556">
      <c r="B556" s="48"/>
    </row>
    <row r="557">
      <c r="B557" s="48"/>
    </row>
    <row r="558">
      <c r="B558" s="48"/>
    </row>
    <row r="559">
      <c r="B559" s="48"/>
    </row>
    <row r="560">
      <c r="B560" s="48"/>
    </row>
    <row r="561">
      <c r="B561" s="48"/>
    </row>
    <row r="562">
      <c r="B562" s="48"/>
    </row>
    <row r="563">
      <c r="B563" s="48"/>
    </row>
    <row r="564">
      <c r="B564" s="48"/>
    </row>
    <row r="565">
      <c r="B565" s="48"/>
    </row>
    <row r="566">
      <c r="B566" s="48"/>
    </row>
    <row r="567">
      <c r="B567" s="48"/>
    </row>
    <row r="568">
      <c r="B568" s="48"/>
    </row>
    <row r="569">
      <c r="B569" s="48"/>
    </row>
    <row r="570">
      <c r="B570" s="48"/>
    </row>
    <row r="571">
      <c r="B571" s="48"/>
    </row>
    <row r="572">
      <c r="B572" s="48"/>
    </row>
    <row r="573">
      <c r="B573" s="48"/>
    </row>
    <row r="574">
      <c r="B574" s="48"/>
    </row>
    <row r="575">
      <c r="B575" s="48"/>
    </row>
    <row r="576">
      <c r="B576" s="48"/>
    </row>
    <row r="577">
      <c r="B577" s="48"/>
    </row>
    <row r="578">
      <c r="B578" s="48"/>
    </row>
    <row r="579">
      <c r="B579" s="48"/>
    </row>
    <row r="580">
      <c r="B580" s="48"/>
    </row>
    <row r="581">
      <c r="B581" s="48"/>
    </row>
    <row r="582">
      <c r="B582" s="48"/>
    </row>
    <row r="583">
      <c r="B583" s="48"/>
    </row>
    <row r="584">
      <c r="B584" s="48"/>
    </row>
    <row r="585">
      <c r="B585" s="48"/>
    </row>
    <row r="586">
      <c r="B586" s="48"/>
    </row>
    <row r="587">
      <c r="B587" s="48"/>
    </row>
    <row r="588">
      <c r="B588" s="48"/>
    </row>
    <row r="589">
      <c r="B589" s="48"/>
    </row>
    <row r="590">
      <c r="B590" s="48"/>
    </row>
    <row r="591">
      <c r="B591" s="48"/>
    </row>
    <row r="592">
      <c r="B592" s="48"/>
    </row>
    <row r="593">
      <c r="B593" s="48"/>
    </row>
    <row r="594">
      <c r="B594" s="48"/>
    </row>
    <row r="595">
      <c r="B595" s="48"/>
    </row>
    <row r="596">
      <c r="B596" s="48"/>
    </row>
    <row r="597">
      <c r="B597" s="48"/>
    </row>
    <row r="598">
      <c r="B598" s="48"/>
    </row>
    <row r="599">
      <c r="B599" s="48"/>
    </row>
    <row r="600">
      <c r="B600" s="48"/>
    </row>
    <row r="601">
      <c r="B601" s="48"/>
    </row>
    <row r="602">
      <c r="B602" s="48"/>
    </row>
    <row r="603">
      <c r="B603" s="48"/>
    </row>
    <row r="604">
      <c r="B604" s="48"/>
    </row>
    <row r="605">
      <c r="B605" s="48"/>
    </row>
    <row r="606">
      <c r="B606" s="48"/>
    </row>
    <row r="607">
      <c r="B607" s="48"/>
    </row>
    <row r="608">
      <c r="B608" s="48"/>
    </row>
    <row r="609">
      <c r="B609" s="48"/>
    </row>
    <row r="610">
      <c r="B610" s="48"/>
    </row>
    <row r="611">
      <c r="B611" s="48"/>
    </row>
    <row r="612">
      <c r="B612" s="48"/>
    </row>
    <row r="613">
      <c r="B613" s="48"/>
    </row>
    <row r="614">
      <c r="B614" s="48"/>
    </row>
    <row r="615">
      <c r="B615" s="48"/>
    </row>
    <row r="616">
      <c r="B616" s="48"/>
    </row>
    <row r="617">
      <c r="B617" s="48"/>
    </row>
    <row r="618">
      <c r="B618" s="48"/>
    </row>
    <row r="619">
      <c r="B619" s="48"/>
    </row>
    <row r="620">
      <c r="B620" s="48"/>
    </row>
    <row r="621">
      <c r="B621" s="48"/>
    </row>
    <row r="622">
      <c r="B622" s="48"/>
    </row>
    <row r="623">
      <c r="B623" s="48"/>
    </row>
    <row r="624">
      <c r="B624" s="48"/>
    </row>
    <row r="625">
      <c r="B625" s="48"/>
    </row>
    <row r="626">
      <c r="B626" s="48"/>
    </row>
    <row r="627">
      <c r="B627" s="48"/>
    </row>
    <row r="628">
      <c r="B628" s="48"/>
    </row>
    <row r="629">
      <c r="B629" s="48"/>
    </row>
    <row r="630">
      <c r="B630" s="48"/>
    </row>
    <row r="631">
      <c r="B631" s="48"/>
    </row>
    <row r="632">
      <c r="B632" s="48"/>
    </row>
    <row r="633">
      <c r="B633" s="48"/>
    </row>
    <row r="634">
      <c r="B634" s="48"/>
    </row>
    <row r="635">
      <c r="B635" s="48"/>
    </row>
    <row r="636">
      <c r="B636" s="48"/>
    </row>
    <row r="637">
      <c r="B637" s="48"/>
    </row>
    <row r="638">
      <c r="B638" s="48"/>
    </row>
    <row r="639">
      <c r="B639" s="48"/>
    </row>
    <row r="640">
      <c r="B640" s="48"/>
    </row>
    <row r="641">
      <c r="B641" s="48"/>
    </row>
    <row r="642">
      <c r="B642" s="48"/>
    </row>
    <row r="643">
      <c r="B643" s="48"/>
    </row>
    <row r="644">
      <c r="B644" s="48"/>
    </row>
    <row r="645">
      <c r="B645" s="48"/>
    </row>
    <row r="646">
      <c r="B646" s="48"/>
    </row>
    <row r="647">
      <c r="B647" s="48"/>
    </row>
    <row r="648">
      <c r="B648" s="48"/>
    </row>
    <row r="649">
      <c r="B649" s="48"/>
    </row>
    <row r="650">
      <c r="B650" s="48"/>
    </row>
    <row r="651">
      <c r="B651" s="48"/>
    </row>
    <row r="652">
      <c r="B652" s="48"/>
    </row>
    <row r="653">
      <c r="B653" s="48"/>
    </row>
    <row r="654">
      <c r="B654" s="48"/>
    </row>
    <row r="655">
      <c r="B655" s="48"/>
    </row>
    <row r="656">
      <c r="B656" s="48"/>
    </row>
    <row r="657">
      <c r="B657" s="48"/>
    </row>
    <row r="658">
      <c r="B658" s="48"/>
    </row>
    <row r="659">
      <c r="B659" s="48"/>
    </row>
    <row r="660">
      <c r="B660" s="48"/>
    </row>
    <row r="661">
      <c r="B661" s="48"/>
    </row>
    <row r="662">
      <c r="B662" s="48"/>
    </row>
    <row r="663">
      <c r="B663" s="48"/>
    </row>
    <row r="664">
      <c r="B664" s="48"/>
    </row>
    <row r="665">
      <c r="B665" s="48"/>
    </row>
    <row r="666">
      <c r="B666" s="48"/>
    </row>
    <row r="667">
      <c r="B667" s="48"/>
    </row>
    <row r="668">
      <c r="B668" s="48"/>
    </row>
    <row r="669">
      <c r="B669" s="48"/>
    </row>
    <row r="670">
      <c r="B670" s="48"/>
    </row>
    <row r="671">
      <c r="B671" s="48"/>
    </row>
    <row r="672">
      <c r="B672" s="48"/>
    </row>
    <row r="673">
      <c r="B673" s="48"/>
    </row>
    <row r="674">
      <c r="B674" s="48"/>
    </row>
    <row r="675">
      <c r="B675" s="48"/>
    </row>
    <row r="676">
      <c r="B676" s="48"/>
    </row>
    <row r="677">
      <c r="B677" s="48"/>
    </row>
    <row r="678">
      <c r="B678" s="48"/>
    </row>
    <row r="679">
      <c r="B679" s="48"/>
    </row>
    <row r="680">
      <c r="B680" s="48"/>
    </row>
    <row r="681">
      <c r="B681" s="48"/>
    </row>
    <row r="682">
      <c r="B682" s="48"/>
    </row>
    <row r="683">
      <c r="B683" s="48"/>
    </row>
    <row r="684">
      <c r="B684" s="48"/>
    </row>
    <row r="685">
      <c r="B685" s="48"/>
    </row>
    <row r="686">
      <c r="B686" s="48"/>
    </row>
    <row r="687">
      <c r="B687" s="48"/>
    </row>
    <row r="688">
      <c r="B688" s="48"/>
    </row>
    <row r="689">
      <c r="B689" s="48"/>
    </row>
    <row r="690">
      <c r="B690" s="48"/>
    </row>
    <row r="691">
      <c r="B691" s="48"/>
    </row>
    <row r="692">
      <c r="B692" s="48"/>
    </row>
    <row r="693">
      <c r="B693" s="48"/>
    </row>
    <row r="694">
      <c r="B694" s="48"/>
    </row>
    <row r="695">
      <c r="B695" s="48"/>
    </row>
    <row r="696">
      <c r="B696" s="48"/>
    </row>
    <row r="697">
      <c r="B697" s="48"/>
    </row>
    <row r="698">
      <c r="B698" s="48"/>
    </row>
    <row r="699">
      <c r="B699" s="48"/>
    </row>
    <row r="700">
      <c r="B700" s="48"/>
    </row>
    <row r="701">
      <c r="B701" s="48"/>
    </row>
    <row r="702">
      <c r="B702" s="48"/>
    </row>
    <row r="703">
      <c r="B703" s="48"/>
    </row>
    <row r="704">
      <c r="B704" s="48"/>
    </row>
    <row r="705">
      <c r="B705" s="48"/>
    </row>
    <row r="706">
      <c r="B706" s="48"/>
    </row>
    <row r="707">
      <c r="B707" s="48"/>
    </row>
    <row r="708">
      <c r="B708" s="48"/>
    </row>
    <row r="709">
      <c r="B709" s="48"/>
    </row>
    <row r="710">
      <c r="B710" s="48"/>
    </row>
    <row r="711">
      <c r="B711" s="48"/>
    </row>
    <row r="712">
      <c r="B712" s="48"/>
    </row>
    <row r="713">
      <c r="B713" s="48"/>
    </row>
    <row r="714">
      <c r="B714" s="48"/>
    </row>
    <row r="715">
      <c r="B715" s="48"/>
    </row>
    <row r="716">
      <c r="B716" s="48"/>
    </row>
    <row r="717">
      <c r="B717" s="48"/>
    </row>
    <row r="718">
      <c r="B718" s="48"/>
    </row>
    <row r="719">
      <c r="B719" s="48"/>
    </row>
    <row r="720">
      <c r="B720" s="48"/>
    </row>
    <row r="721">
      <c r="B721" s="48"/>
    </row>
    <row r="722">
      <c r="B722" s="48"/>
    </row>
    <row r="723">
      <c r="B723" s="48"/>
    </row>
    <row r="724">
      <c r="B724" s="48"/>
    </row>
    <row r="725">
      <c r="B725" s="48"/>
    </row>
    <row r="726">
      <c r="B726" s="48"/>
    </row>
    <row r="727">
      <c r="B727" s="48"/>
    </row>
    <row r="728">
      <c r="B728" s="48"/>
    </row>
    <row r="729">
      <c r="B729" s="48"/>
    </row>
    <row r="730">
      <c r="B730" s="48"/>
    </row>
    <row r="731">
      <c r="B731" s="48"/>
    </row>
    <row r="732">
      <c r="B732" s="48"/>
    </row>
    <row r="733">
      <c r="B733" s="48"/>
    </row>
    <row r="734">
      <c r="B734" s="48"/>
    </row>
    <row r="735">
      <c r="B735" s="48"/>
    </row>
    <row r="736">
      <c r="B736" s="48"/>
    </row>
    <row r="737">
      <c r="B737" s="48"/>
    </row>
    <row r="738">
      <c r="B738" s="48"/>
    </row>
    <row r="739">
      <c r="B739" s="48"/>
    </row>
    <row r="740">
      <c r="B740" s="48"/>
    </row>
    <row r="741">
      <c r="B741" s="48"/>
    </row>
    <row r="742">
      <c r="B742" s="48"/>
    </row>
    <row r="743">
      <c r="B743" s="48"/>
    </row>
    <row r="744">
      <c r="B744" s="48"/>
    </row>
    <row r="745">
      <c r="B745" s="48"/>
    </row>
    <row r="746">
      <c r="B746" s="48"/>
    </row>
    <row r="747">
      <c r="B747" s="48"/>
    </row>
    <row r="748">
      <c r="B748" s="48"/>
    </row>
    <row r="749">
      <c r="B749" s="48"/>
    </row>
    <row r="750">
      <c r="B750" s="48"/>
    </row>
    <row r="751">
      <c r="B751" s="48"/>
    </row>
    <row r="752">
      <c r="B752" s="48"/>
    </row>
    <row r="753">
      <c r="B753" s="48"/>
    </row>
    <row r="754">
      <c r="B754" s="48"/>
    </row>
    <row r="755">
      <c r="B755" s="48"/>
    </row>
    <row r="756">
      <c r="B756" s="48"/>
    </row>
    <row r="757">
      <c r="B757" s="48"/>
    </row>
    <row r="758">
      <c r="B758" s="48"/>
    </row>
    <row r="759">
      <c r="B759" s="48"/>
    </row>
    <row r="760">
      <c r="B760" s="48"/>
    </row>
    <row r="761">
      <c r="B761" s="48"/>
    </row>
    <row r="762">
      <c r="B762" s="48"/>
    </row>
    <row r="763">
      <c r="B763" s="48"/>
    </row>
    <row r="764">
      <c r="B764" s="48"/>
    </row>
    <row r="765">
      <c r="B765" s="48"/>
    </row>
    <row r="766">
      <c r="B766" s="48"/>
    </row>
    <row r="767">
      <c r="B767" s="48"/>
    </row>
    <row r="768">
      <c r="B768" s="48"/>
    </row>
    <row r="769">
      <c r="B769" s="48"/>
    </row>
    <row r="770">
      <c r="B770" s="48"/>
    </row>
    <row r="771">
      <c r="B771" s="48"/>
    </row>
    <row r="772">
      <c r="B772" s="48"/>
    </row>
    <row r="773">
      <c r="B773" s="48"/>
    </row>
    <row r="774">
      <c r="B774" s="48"/>
    </row>
    <row r="775">
      <c r="B775" s="48"/>
    </row>
    <row r="776">
      <c r="B776" s="48"/>
    </row>
    <row r="777">
      <c r="B777" s="48"/>
    </row>
    <row r="778">
      <c r="B778" s="48"/>
    </row>
    <row r="779">
      <c r="B779" s="48"/>
    </row>
    <row r="780">
      <c r="B780" s="48"/>
    </row>
    <row r="781">
      <c r="B781" s="48"/>
    </row>
    <row r="782">
      <c r="B782" s="48"/>
    </row>
    <row r="783">
      <c r="B783" s="48"/>
    </row>
    <row r="784">
      <c r="B784" s="48"/>
    </row>
    <row r="785">
      <c r="B785" s="48"/>
    </row>
    <row r="786">
      <c r="B786" s="48"/>
    </row>
    <row r="787">
      <c r="B787" s="48"/>
    </row>
    <row r="788">
      <c r="B788" s="48"/>
    </row>
    <row r="789">
      <c r="B789" s="48"/>
    </row>
    <row r="790">
      <c r="B790" s="48"/>
    </row>
    <row r="791">
      <c r="B791" s="48"/>
    </row>
    <row r="792">
      <c r="B792" s="48"/>
    </row>
    <row r="793">
      <c r="B793" s="48"/>
    </row>
    <row r="794">
      <c r="B794" s="48"/>
    </row>
    <row r="795">
      <c r="B795" s="48"/>
    </row>
    <row r="796">
      <c r="B796" s="48"/>
    </row>
    <row r="797">
      <c r="B797" s="48"/>
    </row>
    <row r="798">
      <c r="B798" s="48"/>
    </row>
    <row r="799">
      <c r="B799" s="48"/>
    </row>
    <row r="800">
      <c r="B800" s="48"/>
    </row>
    <row r="801">
      <c r="B801" s="48"/>
    </row>
    <row r="802">
      <c r="B802" s="48"/>
    </row>
    <row r="803">
      <c r="B803" s="48"/>
    </row>
    <row r="804">
      <c r="B804" s="48"/>
    </row>
    <row r="805">
      <c r="B805" s="48"/>
    </row>
    <row r="806">
      <c r="B806" s="48"/>
    </row>
    <row r="807">
      <c r="B807" s="48"/>
    </row>
    <row r="808">
      <c r="B808" s="48"/>
    </row>
    <row r="809">
      <c r="B809" s="48"/>
    </row>
    <row r="810">
      <c r="B810" s="48"/>
    </row>
    <row r="811">
      <c r="B811" s="48"/>
    </row>
    <row r="812">
      <c r="B812" s="48"/>
    </row>
    <row r="813">
      <c r="B813" s="48"/>
    </row>
    <row r="814">
      <c r="B814" s="48"/>
    </row>
    <row r="815">
      <c r="B815" s="48"/>
    </row>
    <row r="816">
      <c r="B816" s="48"/>
    </row>
    <row r="817">
      <c r="B817" s="48"/>
    </row>
    <row r="818">
      <c r="B818" s="48"/>
    </row>
    <row r="819">
      <c r="B819" s="48"/>
    </row>
    <row r="820">
      <c r="B820" s="48"/>
    </row>
    <row r="821">
      <c r="B821" s="48"/>
    </row>
    <row r="822">
      <c r="B822" s="48"/>
    </row>
    <row r="823">
      <c r="B823" s="48"/>
    </row>
    <row r="824">
      <c r="B824" s="48"/>
    </row>
    <row r="825">
      <c r="B825" s="48"/>
    </row>
    <row r="826">
      <c r="B826" s="48"/>
    </row>
    <row r="827">
      <c r="B827" s="48"/>
    </row>
    <row r="828">
      <c r="B828" s="48"/>
    </row>
    <row r="829">
      <c r="B829" s="48"/>
    </row>
    <row r="830">
      <c r="B830" s="48"/>
    </row>
    <row r="831">
      <c r="B831" s="48"/>
    </row>
    <row r="832">
      <c r="B832" s="48"/>
    </row>
    <row r="833">
      <c r="B833" s="48"/>
    </row>
    <row r="834">
      <c r="B834" s="48"/>
    </row>
    <row r="835">
      <c r="B835" s="48"/>
    </row>
    <row r="836">
      <c r="B836" s="48"/>
    </row>
    <row r="837">
      <c r="B837" s="48"/>
    </row>
    <row r="838">
      <c r="B838" s="48"/>
    </row>
    <row r="839">
      <c r="B839" s="48"/>
    </row>
    <row r="840">
      <c r="B840" s="48"/>
    </row>
    <row r="841">
      <c r="B841" s="48"/>
    </row>
    <row r="842">
      <c r="B842" s="48"/>
    </row>
    <row r="843">
      <c r="B843" s="48"/>
    </row>
    <row r="844">
      <c r="B844" s="48"/>
    </row>
    <row r="845">
      <c r="B845" s="48"/>
    </row>
    <row r="846">
      <c r="B846" s="48"/>
    </row>
    <row r="847">
      <c r="B847" s="48"/>
    </row>
    <row r="848">
      <c r="B848" s="48"/>
    </row>
    <row r="849">
      <c r="B849" s="48"/>
    </row>
    <row r="850">
      <c r="B850" s="48"/>
    </row>
    <row r="851">
      <c r="B851" s="48"/>
    </row>
    <row r="852">
      <c r="B852" s="48"/>
    </row>
    <row r="853">
      <c r="B853" s="48"/>
    </row>
    <row r="854">
      <c r="B854" s="48"/>
    </row>
    <row r="855">
      <c r="B855" s="48"/>
    </row>
    <row r="856">
      <c r="B856" s="48"/>
    </row>
    <row r="857">
      <c r="B857" s="48"/>
    </row>
    <row r="858">
      <c r="B858" s="48"/>
    </row>
    <row r="859">
      <c r="B859" s="48"/>
    </row>
    <row r="860">
      <c r="B860" s="48"/>
    </row>
    <row r="861">
      <c r="B861" s="48"/>
    </row>
    <row r="862">
      <c r="B862" s="48"/>
    </row>
    <row r="863">
      <c r="B863" s="48"/>
    </row>
    <row r="864">
      <c r="B864" s="48"/>
    </row>
    <row r="865">
      <c r="B865" s="48"/>
    </row>
    <row r="866">
      <c r="B866" s="48"/>
    </row>
    <row r="867">
      <c r="B867" s="48"/>
    </row>
    <row r="868">
      <c r="B868" s="48"/>
    </row>
    <row r="869">
      <c r="B869" s="48"/>
    </row>
    <row r="870">
      <c r="B870" s="48"/>
    </row>
    <row r="871">
      <c r="B871" s="48"/>
    </row>
    <row r="872">
      <c r="B872" s="48"/>
    </row>
    <row r="873">
      <c r="B873" s="48"/>
    </row>
    <row r="874">
      <c r="B874" s="48"/>
    </row>
    <row r="875">
      <c r="B875" s="48"/>
    </row>
    <row r="876">
      <c r="B876" s="48"/>
    </row>
    <row r="877">
      <c r="B877" s="48"/>
    </row>
    <row r="878">
      <c r="B878" s="48"/>
    </row>
    <row r="879">
      <c r="B879" s="48"/>
    </row>
    <row r="880">
      <c r="B880" s="48"/>
    </row>
    <row r="881">
      <c r="B881" s="48"/>
    </row>
    <row r="882">
      <c r="B882" s="48"/>
    </row>
    <row r="883">
      <c r="B883" s="48"/>
    </row>
    <row r="884">
      <c r="B884" s="48"/>
    </row>
    <row r="885">
      <c r="B885" s="48"/>
    </row>
    <row r="886">
      <c r="B886" s="48"/>
    </row>
    <row r="887">
      <c r="B887" s="48"/>
    </row>
    <row r="888">
      <c r="B888" s="48"/>
    </row>
    <row r="889">
      <c r="B889" s="48"/>
    </row>
    <row r="890">
      <c r="B890" s="48"/>
    </row>
    <row r="891">
      <c r="B891" s="48"/>
    </row>
    <row r="892">
      <c r="B892" s="48"/>
    </row>
    <row r="893">
      <c r="B893" s="48"/>
    </row>
    <row r="894">
      <c r="B894" s="48"/>
    </row>
    <row r="895">
      <c r="B895" s="48"/>
    </row>
    <row r="896">
      <c r="B896" s="48"/>
    </row>
    <row r="897">
      <c r="B897" s="48"/>
    </row>
    <row r="898">
      <c r="B898" s="48"/>
    </row>
    <row r="899">
      <c r="B899" s="48"/>
    </row>
    <row r="900">
      <c r="B900" s="48"/>
    </row>
    <row r="901">
      <c r="B901" s="48"/>
    </row>
    <row r="902">
      <c r="B902" s="48"/>
    </row>
    <row r="903">
      <c r="B903" s="48"/>
    </row>
    <row r="904">
      <c r="B904" s="48"/>
    </row>
    <row r="905">
      <c r="B905" s="48"/>
    </row>
    <row r="906">
      <c r="B906" s="48"/>
    </row>
    <row r="907">
      <c r="B907" s="48"/>
    </row>
    <row r="908">
      <c r="B908" s="48"/>
    </row>
    <row r="909">
      <c r="B909" s="48"/>
    </row>
    <row r="910">
      <c r="B910" s="48"/>
    </row>
    <row r="911">
      <c r="B911" s="48"/>
    </row>
    <row r="912">
      <c r="B912" s="48"/>
    </row>
    <row r="913">
      <c r="B913" s="48"/>
    </row>
    <row r="914">
      <c r="B914" s="48"/>
    </row>
    <row r="915">
      <c r="B915" s="48"/>
    </row>
    <row r="916">
      <c r="B916" s="48"/>
    </row>
    <row r="917">
      <c r="B917" s="48"/>
    </row>
    <row r="918">
      <c r="B918" s="48"/>
    </row>
    <row r="919">
      <c r="B919" s="48"/>
    </row>
    <row r="920">
      <c r="B920" s="48"/>
    </row>
    <row r="921">
      <c r="B921" s="48"/>
    </row>
    <row r="922">
      <c r="B922" s="48"/>
    </row>
    <row r="923">
      <c r="B923" s="48"/>
    </row>
    <row r="924">
      <c r="B924" s="48"/>
    </row>
    <row r="925">
      <c r="B925" s="48"/>
    </row>
    <row r="926">
      <c r="B926" s="48"/>
    </row>
    <row r="927">
      <c r="B927" s="48"/>
    </row>
    <row r="928">
      <c r="B928" s="48"/>
    </row>
    <row r="929">
      <c r="B929" s="48"/>
    </row>
    <row r="930">
      <c r="B930" s="48"/>
    </row>
    <row r="931">
      <c r="B931" s="48"/>
    </row>
    <row r="932">
      <c r="B932" s="48"/>
    </row>
    <row r="933">
      <c r="B933" s="48"/>
    </row>
    <row r="934">
      <c r="B934" s="48"/>
    </row>
    <row r="935">
      <c r="B935" s="48"/>
    </row>
    <row r="936">
      <c r="B936" s="48"/>
    </row>
    <row r="937">
      <c r="B937" s="48"/>
    </row>
    <row r="938">
      <c r="B938" s="48"/>
    </row>
    <row r="939">
      <c r="B939" s="48"/>
    </row>
    <row r="940">
      <c r="B940" s="48"/>
    </row>
    <row r="941">
      <c r="B941" s="48"/>
    </row>
    <row r="942">
      <c r="B942" s="48"/>
    </row>
    <row r="943">
      <c r="B943" s="48"/>
    </row>
    <row r="944">
      <c r="B944" s="48"/>
    </row>
    <row r="945">
      <c r="B945" s="48"/>
    </row>
    <row r="946">
      <c r="B946" s="48"/>
    </row>
    <row r="947">
      <c r="B947" s="48"/>
    </row>
    <row r="948">
      <c r="B948" s="48"/>
    </row>
    <row r="949">
      <c r="B949" s="48"/>
    </row>
    <row r="950">
      <c r="B950" s="48"/>
    </row>
    <row r="951">
      <c r="B951" s="48"/>
    </row>
    <row r="952">
      <c r="B952" s="48"/>
    </row>
    <row r="953">
      <c r="B953" s="48"/>
    </row>
    <row r="954">
      <c r="B954" s="48"/>
    </row>
    <row r="955">
      <c r="B955" s="48"/>
    </row>
    <row r="956">
      <c r="B956" s="48"/>
    </row>
    <row r="957">
      <c r="B957" s="48"/>
    </row>
    <row r="958">
      <c r="B958" s="48"/>
    </row>
    <row r="959">
      <c r="B959" s="48"/>
    </row>
    <row r="960">
      <c r="B960" s="48"/>
    </row>
    <row r="961">
      <c r="B961" s="48"/>
    </row>
    <row r="962">
      <c r="B962" s="48"/>
    </row>
    <row r="963">
      <c r="B963" s="48"/>
    </row>
    <row r="964">
      <c r="B964" s="48"/>
    </row>
    <row r="965">
      <c r="B965" s="48"/>
    </row>
    <row r="966">
      <c r="B966" s="48"/>
    </row>
    <row r="967">
      <c r="B967" s="48"/>
    </row>
    <row r="968">
      <c r="B968" s="48"/>
    </row>
    <row r="969">
      <c r="B969" s="48"/>
    </row>
    <row r="970">
      <c r="B970" s="48"/>
    </row>
    <row r="971">
      <c r="B971" s="48"/>
    </row>
    <row r="972">
      <c r="B972" s="48"/>
    </row>
    <row r="973">
      <c r="B973" s="48"/>
    </row>
    <row r="974">
      <c r="B974" s="48"/>
    </row>
    <row r="975">
      <c r="B975" s="48"/>
    </row>
    <row r="976">
      <c r="B976" s="48"/>
    </row>
    <row r="977">
      <c r="B977" s="48"/>
    </row>
    <row r="978">
      <c r="B978" s="48"/>
    </row>
    <row r="979">
      <c r="B979" s="48"/>
    </row>
    <row r="980">
      <c r="B980" s="48"/>
    </row>
    <row r="981">
      <c r="B981" s="48"/>
    </row>
    <row r="982">
      <c r="B982" s="48"/>
    </row>
    <row r="983">
      <c r="B983" s="48"/>
    </row>
    <row r="984">
      <c r="B984" s="48"/>
    </row>
    <row r="985">
      <c r="B985" s="48"/>
    </row>
    <row r="986">
      <c r="B986" s="48"/>
    </row>
    <row r="987">
      <c r="B987" s="48"/>
    </row>
    <row r="988">
      <c r="B988" s="48"/>
    </row>
    <row r="989">
      <c r="B989" s="48"/>
    </row>
    <row r="990">
      <c r="B990" s="48"/>
    </row>
    <row r="991">
      <c r="B991" s="48"/>
    </row>
    <row r="992">
      <c r="B992" s="48"/>
    </row>
    <row r="993">
      <c r="B993" s="48"/>
    </row>
    <row r="994">
      <c r="B994" s="48"/>
    </row>
    <row r="995">
      <c r="B995" s="48"/>
    </row>
    <row r="996">
      <c r="B996" s="48"/>
    </row>
    <row r="997">
      <c r="B997" s="48"/>
    </row>
    <row r="998">
      <c r="B998" s="48"/>
    </row>
  </sheetData>
  <autoFilter ref="$A$1:$E$100">
    <sortState ref="A1:E100">
      <sortCondition ref="B1:B100"/>
      <sortCondition descending="1" ref="E1:E100"/>
      <sortCondition descending="1" ref="C1:C100"/>
      <sortCondition descending="1" ref="A1:A100"/>
      <sortCondition descending="1" ref="D1:D100"/>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0"/>
    <col customWidth="1" min="2" max="2" width="12.13"/>
    <col customWidth="1" min="4" max="4" width="62.75"/>
  </cols>
  <sheetData>
    <row r="1">
      <c r="A1" s="1" t="s">
        <v>0</v>
      </c>
      <c r="B1" s="3" t="s">
        <v>2</v>
      </c>
    </row>
    <row r="2">
      <c r="A2" s="2" t="s">
        <v>3</v>
      </c>
      <c r="B2" s="6">
        <v>46137.0</v>
      </c>
      <c r="D2" s="5" t="s">
        <v>6</v>
      </c>
    </row>
    <row r="3">
      <c r="A3" s="2" t="s">
        <v>7</v>
      </c>
      <c r="B3" s="6">
        <v>46179.0</v>
      </c>
      <c r="D3" s="8"/>
    </row>
    <row r="4">
      <c r="A4" s="2" t="s">
        <v>8</v>
      </c>
      <c r="B4" s="9">
        <v>46192.0</v>
      </c>
      <c r="D4" s="5" t="s">
        <v>9</v>
      </c>
    </row>
    <row r="5">
      <c r="A5" s="2" t="s">
        <v>10</v>
      </c>
      <c r="B5" s="9">
        <v>46200.0</v>
      </c>
      <c r="D5" s="5" t="s">
        <v>11</v>
      </c>
    </row>
    <row r="6">
      <c r="A6" s="2" t="s">
        <v>12</v>
      </c>
      <c r="B6" s="9">
        <v>46208.0</v>
      </c>
      <c r="D6" s="8"/>
    </row>
    <row r="7">
      <c r="A7" s="2" t="s">
        <v>14</v>
      </c>
      <c r="B7" s="9">
        <v>46214.0</v>
      </c>
      <c r="D7" s="5" t="s">
        <v>15</v>
      </c>
    </row>
    <row r="8">
      <c r="A8" s="2" t="s">
        <v>16</v>
      </c>
      <c r="B8" s="9">
        <v>46221.0</v>
      </c>
      <c r="D8" s="8"/>
    </row>
    <row r="9">
      <c r="A9" s="2" t="s">
        <v>18</v>
      </c>
      <c r="B9" s="9">
        <v>46228.0</v>
      </c>
      <c r="D9" s="5" t="s">
        <v>20</v>
      </c>
    </row>
    <row r="10">
      <c r="A10" s="2" t="s">
        <v>21</v>
      </c>
      <c r="B10" s="12">
        <v>46235.0</v>
      </c>
      <c r="D10" s="5" t="s">
        <v>23</v>
      </c>
    </row>
    <row r="11">
      <c r="A11" s="2" t="s">
        <v>24</v>
      </c>
      <c r="B11" s="12">
        <v>46242.0</v>
      </c>
      <c r="D11" s="5" t="s">
        <v>26</v>
      </c>
    </row>
    <row r="12">
      <c r="A12" s="2" t="s">
        <v>27</v>
      </c>
      <c r="B12" s="12">
        <v>46263.0</v>
      </c>
    </row>
    <row r="13">
      <c r="A13" s="2" t="s">
        <v>29</v>
      </c>
      <c r="B13" s="12">
        <v>46270.0</v>
      </c>
      <c r="D13" s="2" t="s">
        <v>30</v>
      </c>
    </row>
    <row r="14">
      <c r="A14" s="2" t="s">
        <v>32</v>
      </c>
      <c r="B14" s="12">
        <v>46277.0</v>
      </c>
      <c r="D14" s="2"/>
    </row>
    <row r="15">
      <c r="A15" s="2" t="s">
        <v>34</v>
      </c>
      <c r="B15" s="12">
        <v>46284.0</v>
      </c>
      <c r="D15" s="2"/>
    </row>
    <row r="16">
      <c r="A16" s="2" t="s">
        <v>35</v>
      </c>
      <c r="B16" s="12">
        <v>46287.0</v>
      </c>
      <c r="D16" s="2"/>
    </row>
    <row r="17">
      <c r="A17" s="2" t="s">
        <v>37</v>
      </c>
      <c r="B17" s="12">
        <v>46291.0</v>
      </c>
      <c r="D17" s="2"/>
    </row>
    <row r="18">
      <c r="D18" s="2" t="s">
        <v>39</v>
      </c>
    </row>
    <row r="19">
      <c r="A19" s="14" t="s">
        <v>41</v>
      </c>
      <c r="B19" s="14" t="s">
        <v>43</v>
      </c>
      <c r="C19" s="2" t="s">
        <v>45</v>
      </c>
      <c r="D19" s="2" t="s">
        <v>47</v>
      </c>
    </row>
    <row r="20">
      <c r="A20" s="2" t="s">
        <v>49</v>
      </c>
      <c r="B20" s="12">
        <v>46298.0</v>
      </c>
      <c r="D20" s="2" t="s">
        <v>50</v>
      </c>
    </row>
    <row r="21">
      <c r="A21" s="2" t="s">
        <v>52</v>
      </c>
      <c r="B21" s="12">
        <v>46305.0</v>
      </c>
      <c r="D21" s="2" t="s">
        <v>54</v>
      </c>
    </row>
    <row r="22">
      <c r="A22" s="2" t="s">
        <v>55</v>
      </c>
      <c r="B22" s="12">
        <v>46312.0</v>
      </c>
    </row>
    <row r="23">
      <c r="A23" s="2" t="s">
        <v>57</v>
      </c>
      <c r="B23" s="12">
        <v>46319.0</v>
      </c>
      <c r="D23" s="19" t="s">
        <v>59</v>
      </c>
    </row>
    <row r="24">
      <c r="A24" s="2" t="s">
        <v>63</v>
      </c>
      <c r="B24" s="12">
        <v>46326.0</v>
      </c>
      <c r="D24" s="2" t="s">
        <v>65</v>
      </c>
      <c r="E24" s="12">
        <v>46193.0</v>
      </c>
    </row>
    <row r="25">
      <c r="A25" s="2" t="s">
        <v>67</v>
      </c>
      <c r="B25" s="12">
        <v>46333.0</v>
      </c>
      <c r="C25" s="2" t="s">
        <v>69</v>
      </c>
      <c r="D25" s="2" t="s">
        <v>71</v>
      </c>
      <c r="E25" s="12">
        <v>46195.0</v>
      </c>
    </row>
    <row r="26">
      <c r="A26" s="2" t="s">
        <v>73</v>
      </c>
      <c r="B26" s="12">
        <v>46340.0</v>
      </c>
      <c r="D26" s="2" t="s">
        <v>76</v>
      </c>
      <c r="E26" s="12">
        <v>46197.0</v>
      </c>
    </row>
    <row r="27">
      <c r="A27" s="2" t="s">
        <v>78</v>
      </c>
      <c r="B27" s="12">
        <v>46347.0</v>
      </c>
      <c r="D27" s="2" t="s">
        <v>81</v>
      </c>
      <c r="E27" s="12">
        <v>46199.0</v>
      </c>
    </row>
    <row r="28">
      <c r="A28" s="2" t="s">
        <v>86</v>
      </c>
      <c r="B28" s="12">
        <v>46349.0</v>
      </c>
      <c r="D28" s="2" t="s">
        <v>89</v>
      </c>
      <c r="E28" s="12">
        <v>46200.0</v>
      </c>
    </row>
    <row r="29">
      <c r="A29" s="2" t="s">
        <v>93</v>
      </c>
      <c r="B29" s="12">
        <v>46354.0</v>
      </c>
      <c r="D29" s="2" t="s">
        <v>96</v>
      </c>
      <c r="E29" s="12">
        <v>46202.0</v>
      </c>
    </row>
    <row r="30">
      <c r="A30" s="2" t="s">
        <v>100</v>
      </c>
      <c r="B30" s="12">
        <v>46361.0</v>
      </c>
      <c r="D30" s="2" t="s">
        <v>103</v>
      </c>
      <c r="E30" s="12">
        <v>46204.0</v>
      </c>
    </row>
    <row r="31">
      <c r="A31" s="2" t="s">
        <v>107</v>
      </c>
      <c r="B31" s="12">
        <v>46368.0</v>
      </c>
      <c r="D31" s="2" t="s">
        <v>110</v>
      </c>
      <c r="E31" s="12">
        <v>46206.0</v>
      </c>
    </row>
    <row r="32">
      <c r="A32" s="2" t="s">
        <v>112</v>
      </c>
      <c r="B32" s="12">
        <v>46375.0</v>
      </c>
      <c r="D32" s="2" t="s">
        <v>115</v>
      </c>
      <c r="E32" s="12">
        <v>46210.0</v>
      </c>
    </row>
    <row r="33">
      <c r="A33" s="2" t="s">
        <v>118</v>
      </c>
      <c r="B33" s="12">
        <v>46382.0</v>
      </c>
      <c r="C33" s="2" t="s">
        <v>119</v>
      </c>
      <c r="D33" s="2" t="s">
        <v>121</v>
      </c>
      <c r="E33" s="12">
        <v>46212.0</v>
      </c>
    </row>
    <row r="34">
      <c r="A34" s="2" t="s">
        <v>122</v>
      </c>
      <c r="B34" s="12">
        <v>46389.0</v>
      </c>
      <c r="D34" s="2" t="s">
        <v>124</v>
      </c>
      <c r="E34" s="12">
        <v>46215.0</v>
      </c>
    </row>
    <row r="35">
      <c r="A35" s="2" t="s">
        <v>125</v>
      </c>
      <c r="B35" s="12">
        <v>46396.0</v>
      </c>
      <c r="D35" s="2" t="s">
        <v>127</v>
      </c>
      <c r="E35" s="12">
        <v>46216.0</v>
      </c>
    </row>
    <row r="36">
      <c r="A36" s="2" t="s">
        <v>130</v>
      </c>
      <c r="B36" s="12">
        <v>46403.0</v>
      </c>
      <c r="D36" s="2" t="s">
        <v>131</v>
      </c>
      <c r="E36" s="12">
        <v>46222.0</v>
      </c>
    </row>
    <row r="37">
      <c r="A37" s="2" t="s">
        <v>134</v>
      </c>
      <c r="B37" s="12">
        <v>46410.0</v>
      </c>
      <c r="D37" s="2" t="s">
        <v>136</v>
      </c>
      <c r="E37" s="12">
        <v>46229.0</v>
      </c>
    </row>
    <row r="38">
      <c r="B38" s="12">
        <v>46417.0</v>
      </c>
      <c r="C38" s="2" t="s">
        <v>139</v>
      </c>
      <c r="D38" s="2" t="s">
        <v>141</v>
      </c>
      <c r="E38" s="12">
        <v>46236.0</v>
      </c>
    </row>
    <row r="39">
      <c r="A39" s="2" t="s">
        <v>139</v>
      </c>
      <c r="B39" s="12">
        <v>46424.0</v>
      </c>
      <c r="D39" s="2" t="s">
        <v>143</v>
      </c>
      <c r="E39" s="12">
        <v>46243.0</v>
      </c>
    </row>
    <row r="40">
      <c r="A40" s="2" t="s">
        <v>145</v>
      </c>
      <c r="B40" s="12">
        <v>46431.0</v>
      </c>
    </row>
    <row r="41">
      <c r="A41" s="2" t="s">
        <v>147</v>
      </c>
      <c r="B41" s="12">
        <v>46438.0</v>
      </c>
      <c r="C41" s="2" t="s">
        <v>150</v>
      </c>
    </row>
    <row r="42">
      <c r="A42" s="2" t="s">
        <v>152</v>
      </c>
      <c r="B42" s="12">
        <v>46445.0</v>
      </c>
    </row>
    <row r="43">
      <c r="A43" s="2" t="s">
        <v>155</v>
      </c>
      <c r="B43" s="12">
        <v>46452.0</v>
      </c>
    </row>
    <row r="44">
      <c r="A44" s="2" t="s">
        <v>157</v>
      </c>
      <c r="B44" s="12">
        <v>46459.0</v>
      </c>
    </row>
    <row r="45">
      <c r="A45" s="2" t="s">
        <v>161</v>
      </c>
      <c r="B45" s="12">
        <v>46466.0</v>
      </c>
    </row>
    <row r="46">
      <c r="A46" s="2" t="s">
        <v>164</v>
      </c>
      <c r="B46" s="12">
        <v>46473.0</v>
      </c>
    </row>
    <row r="47">
      <c r="A47" s="2" t="s">
        <v>169</v>
      </c>
      <c r="B47" s="12">
        <v>46480.0</v>
      </c>
    </row>
    <row r="48">
      <c r="A48" s="2" t="s">
        <v>172</v>
      </c>
      <c r="B48" s="12">
        <v>46487.0</v>
      </c>
    </row>
    <row r="49">
      <c r="B49" s="12">
        <v>46494.0</v>
      </c>
    </row>
    <row r="50">
      <c r="B50" s="12">
        <v>46501.0</v>
      </c>
    </row>
    <row r="51">
      <c r="B51" s="12">
        <v>46508.0</v>
      </c>
      <c r="C51" s="2" t="s">
        <v>178</v>
      </c>
    </row>
    <row r="52">
      <c r="A52" s="2" t="s">
        <v>180</v>
      </c>
      <c r="B52" s="12">
        <v>46515.0</v>
      </c>
    </row>
    <row r="53">
      <c r="A53" s="2" t="s">
        <v>183</v>
      </c>
      <c r="B53" s="12">
        <v>46522.0</v>
      </c>
    </row>
    <row r="54">
      <c r="A54" s="2" t="s">
        <v>185</v>
      </c>
      <c r="B54" s="12">
        <v>46529.0</v>
      </c>
    </row>
    <row r="55">
      <c r="A55" s="2" t="s">
        <v>187</v>
      </c>
      <c r="B55" s="12">
        <v>46536.0</v>
      </c>
    </row>
    <row r="56">
      <c r="A56" s="2" t="s">
        <v>189</v>
      </c>
      <c r="B56" s="12">
        <v>46543.0</v>
      </c>
    </row>
    <row r="57">
      <c r="A57" s="2" t="s">
        <v>191</v>
      </c>
      <c r="B57" s="12">
        <v>46550.0</v>
      </c>
    </row>
    <row r="58">
      <c r="A58" s="2" t="s">
        <v>194</v>
      </c>
      <c r="B58" s="12">
        <v>46557.0</v>
      </c>
    </row>
    <row r="59">
      <c r="A59" s="2" t="s">
        <v>195</v>
      </c>
      <c r="B59" s="12">
        <v>46564.0</v>
      </c>
    </row>
    <row r="60">
      <c r="A60" s="2" t="s">
        <v>197</v>
      </c>
      <c r="B60" s="12">
        <v>46571.0</v>
      </c>
    </row>
    <row r="61">
      <c r="A61" s="2" t="s">
        <v>198</v>
      </c>
      <c r="B61" s="12">
        <v>46578.0</v>
      </c>
    </row>
    <row r="62">
      <c r="B62" s="12">
        <v>46585.0</v>
      </c>
      <c r="C62" s="2" t="s">
        <v>199</v>
      </c>
    </row>
    <row r="63">
      <c r="A63" s="2" t="s">
        <v>201</v>
      </c>
      <c r="B63" s="12">
        <v>46592.0</v>
      </c>
    </row>
    <row r="64">
      <c r="A64" s="2" t="s">
        <v>203</v>
      </c>
      <c r="B64" s="12">
        <v>46599.0</v>
      </c>
    </row>
    <row r="65">
      <c r="A65" s="2" t="s">
        <v>204</v>
      </c>
      <c r="B65" s="12">
        <v>46606.0</v>
      </c>
    </row>
    <row r="66">
      <c r="A66" s="2" t="s">
        <v>207</v>
      </c>
      <c r="B66" s="12">
        <v>46613.0</v>
      </c>
      <c r="C66" s="2" t="s">
        <v>119</v>
      </c>
    </row>
    <row r="67">
      <c r="A67" s="2" t="s">
        <v>209</v>
      </c>
      <c r="B67" s="12">
        <v>46620.0</v>
      </c>
    </row>
    <row r="68">
      <c r="A68" s="2" t="s">
        <v>212</v>
      </c>
      <c r="B68" s="12">
        <v>46627.0</v>
      </c>
    </row>
    <row r="69">
      <c r="A69" s="2" t="s">
        <v>214</v>
      </c>
      <c r="B69" s="12">
        <v>46634.0</v>
      </c>
    </row>
    <row r="70">
      <c r="A70" s="2" t="s">
        <v>217</v>
      </c>
      <c r="B70" s="12">
        <v>46641.0</v>
      </c>
    </row>
    <row r="71">
      <c r="A71" s="2" t="s">
        <v>220</v>
      </c>
      <c r="B71" s="12">
        <v>46648.0</v>
      </c>
    </row>
    <row r="72">
      <c r="A72" s="2" t="s">
        <v>223</v>
      </c>
      <c r="B72" s="12">
        <v>46655.0</v>
      </c>
    </row>
    <row r="73">
      <c r="A73" s="2" t="s">
        <v>225</v>
      </c>
      <c r="B73" s="12">
        <v>46662.0</v>
      </c>
    </row>
    <row r="74">
      <c r="A74" s="2" t="s">
        <v>228</v>
      </c>
      <c r="B74" s="12">
        <v>46669.0</v>
      </c>
    </row>
    <row r="75">
      <c r="B75" s="12">
        <v>46676.0</v>
      </c>
    </row>
    <row r="76">
      <c r="B76" s="12">
        <v>46683.0</v>
      </c>
    </row>
    <row r="77">
      <c r="B77" s="12">
        <v>46690.0</v>
      </c>
      <c r="C77" s="2" t="s">
        <v>232</v>
      </c>
    </row>
    <row r="78">
      <c r="A78" s="2" t="s">
        <v>234</v>
      </c>
      <c r="B78" s="12">
        <v>46697.0</v>
      </c>
    </row>
    <row r="79">
      <c r="A79" s="2" t="s">
        <v>236</v>
      </c>
      <c r="B79" s="12">
        <v>46704.0</v>
      </c>
    </row>
    <row r="80">
      <c r="A80" s="2" t="s">
        <v>238</v>
      </c>
      <c r="B80" s="12">
        <v>46711.0</v>
      </c>
    </row>
    <row r="81">
      <c r="B81" s="12">
        <v>46718.0</v>
      </c>
    </row>
    <row r="82">
      <c r="B82" s="40">
        <v>46725.0</v>
      </c>
      <c r="C82" s="2" t="s">
        <v>243</v>
      </c>
    </row>
    <row r="83">
      <c r="B83" s="40">
        <v>46732.0</v>
      </c>
    </row>
    <row r="84">
      <c r="B84" s="40">
        <v>46739.0</v>
      </c>
    </row>
    <row r="85">
      <c r="B85" s="40">
        <v>46746.0</v>
      </c>
    </row>
    <row r="86">
      <c r="B86" s="40">
        <v>46753.0</v>
      </c>
    </row>
    <row r="87">
      <c r="B87" s="40">
        <v>46760.0</v>
      </c>
    </row>
    <row r="88">
      <c r="B88" s="40">
        <v>46767.0</v>
      </c>
    </row>
    <row r="89">
      <c r="B89" s="40">
        <v>46774.0</v>
      </c>
    </row>
    <row r="90">
      <c r="B90" s="40">
        <v>46781.0</v>
      </c>
    </row>
    <row r="91">
      <c r="B91" s="40">
        <v>46788.0</v>
      </c>
    </row>
    <row r="92">
      <c r="B92" s="40">
        <v>46795.0</v>
      </c>
    </row>
    <row r="93">
      <c r="B93" s="40">
        <v>46802.0</v>
      </c>
    </row>
    <row r="94">
      <c r="B94" s="40">
        <v>46809.0</v>
      </c>
      <c r="C94" s="2" t="s">
        <v>251</v>
      </c>
    </row>
    <row r="95">
      <c r="B95" s="40">
        <v>46816.0</v>
      </c>
    </row>
    <row r="96">
      <c r="B96" s="40">
        <v>46823.0</v>
      </c>
    </row>
    <row r="97">
      <c r="B97" s="40">
        <v>46830.0</v>
      </c>
      <c r="C97" s="2" t="s">
        <v>276</v>
      </c>
    </row>
    <row r="98">
      <c r="A98" s="2" t="s">
        <v>279</v>
      </c>
      <c r="B98" s="12">
        <v>46837.0</v>
      </c>
    </row>
    <row r="99">
      <c r="B99" s="12">
        <v>46844.0</v>
      </c>
    </row>
    <row r="100">
      <c r="B100" s="12">
        <v>46851.0</v>
      </c>
    </row>
    <row r="101">
      <c r="B101" s="12">
        <v>46858.0</v>
      </c>
    </row>
    <row r="102">
      <c r="B102" s="12">
        <v>46865.0</v>
      </c>
    </row>
    <row r="103">
      <c r="B103" s="12">
        <v>46872.0</v>
      </c>
      <c r="C103" s="2" t="s">
        <v>283</v>
      </c>
    </row>
    <row r="104">
      <c r="B104" s="12">
        <v>46879.0</v>
      </c>
    </row>
    <row r="105">
      <c r="B105" s="12">
        <v>46886.0</v>
      </c>
    </row>
    <row r="106">
      <c r="B106" s="12">
        <v>46893.0</v>
      </c>
    </row>
    <row r="107">
      <c r="B107" s="12">
        <v>46900.0</v>
      </c>
    </row>
    <row r="108">
      <c r="B108" s="12">
        <v>46907.0</v>
      </c>
    </row>
    <row r="109">
      <c r="B109" s="12">
        <v>46914.0</v>
      </c>
    </row>
    <row r="110">
      <c r="B110" s="12">
        <v>46921.0</v>
      </c>
    </row>
    <row r="111">
      <c r="B111" s="12">
        <v>46928.0</v>
      </c>
    </row>
    <row r="112">
      <c r="B112" s="12">
        <v>46935.0</v>
      </c>
    </row>
    <row r="113">
      <c r="B113" s="12">
        <v>46942.0</v>
      </c>
    </row>
    <row r="114">
      <c r="B114" s="12">
        <v>46949.0</v>
      </c>
    </row>
    <row r="115">
      <c r="B115" s="12">
        <v>46956.0</v>
      </c>
    </row>
    <row r="116">
      <c r="B116" s="12">
        <v>46963.0</v>
      </c>
    </row>
    <row r="117">
      <c r="B117" s="12">
        <v>46970.0</v>
      </c>
    </row>
    <row r="118">
      <c r="B118" s="12">
        <v>46977.0</v>
      </c>
    </row>
    <row r="119">
      <c r="B119" s="12">
        <v>46984.0</v>
      </c>
    </row>
    <row r="120">
      <c r="B120" s="12">
        <v>46991.0</v>
      </c>
    </row>
    <row r="121">
      <c r="B121" s="12">
        <v>46998.0</v>
      </c>
    </row>
    <row r="122">
      <c r="B122" s="12">
        <v>47005.0</v>
      </c>
    </row>
    <row r="123">
      <c r="B123" s="12">
        <v>47012.0</v>
      </c>
    </row>
    <row r="124">
      <c r="B124" s="12">
        <v>47019.0</v>
      </c>
    </row>
    <row r="125">
      <c r="B125" s="12">
        <v>47026.0</v>
      </c>
    </row>
    <row r="126">
      <c r="B126" s="12">
        <v>47033.0</v>
      </c>
    </row>
    <row r="127">
      <c r="B127" s="12">
        <v>47040.0</v>
      </c>
    </row>
    <row r="128">
      <c r="B128" s="12">
        <v>47047.0</v>
      </c>
    </row>
    <row r="129">
      <c r="B129" s="12">
        <v>47054.0</v>
      </c>
    </row>
    <row r="130">
      <c r="B130" s="12">
        <v>47061.0</v>
      </c>
    </row>
    <row r="131">
      <c r="B131" s="12">
        <v>47068.0</v>
      </c>
    </row>
    <row r="132">
      <c r="B132" s="12">
        <v>47075.0</v>
      </c>
    </row>
    <row r="133">
      <c r="B133" s="12">
        <v>47082.0</v>
      </c>
    </row>
    <row r="134">
      <c r="B134" s="12">
        <v>47089.0</v>
      </c>
    </row>
    <row r="135">
      <c r="B135" s="12">
        <v>47096.0</v>
      </c>
    </row>
    <row r="136">
      <c r="B136" s="12">
        <v>47103.0</v>
      </c>
    </row>
    <row r="137">
      <c r="B137" s="12">
        <v>47110.0</v>
      </c>
    </row>
    <row r="138">
      <c r="B138" s="12">
        <v>47117.0</v>
      </c>
    </row>
    <row r="139">
      <c r="B139" s="12">
        <v>47124.0</v>
      </c>
    </row>
  </sheetData>
  <drawing r:id="rId1"/>
</worksheet>
</file>