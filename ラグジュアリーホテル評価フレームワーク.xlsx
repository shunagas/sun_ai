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ラグジュアリーホテル評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1"/>
      <scheme val="minor"/>
    </font>
    <font>
      <name val="Arial"/>
      <b val="1"/>
      <i val="1"/>
      <color theme="1"/>
      <scheme val="minor"/>
    </font>
    <font>
      <name val="Arial"/>
      <color theme="1"/>
      <scheme val="minor"/>
    </font>
    <font>
      <name val="Arial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12" min="1" max="2"/>
    <col width="20" customWidth="1" style="12" min="3" max="3"/>
    <col width="25" customWidth="1" style="12" min="4" max="5"/>
    <col width="20" customWidth="1" style="12" min="6" max="6"/>
    <col width="15" customWidth="1" style="12" min="7" max="7"/>
    <col width="20" customWidth="1" style="12" min="8" max="8"/>
    <col width="35" customWidth="1" style="12" min="9" max="9"/>
    <col width="14.38" customWidth="1" style="12" min="10" max="26"/>
  </cols>
  <sheetData>
    <row r="1">
      <c r="A1" s="11" t="inlineStr">
        <is>
          <t>ホテル名</t>
        </is>
      </c>
      <c r="B1" s="10" t="inlineStr">
        <is>
          <t>接客・サービス品質 (25%)</t>
        </is>
      </c>
      <c r="C1" s="10" t="inlineStr">
        <is>
          <t>施設クオリティ (20%)</t>
        </is>
      </c>
      <c r="D1" s="10" t="inlineStr">
        <is>
          <t>ロケーション・眺望 (20%)</t>
        </is>
      </c>
      <c r="E1" s="10" t="inlineStr">
        <is>
          <t>内装・インテリア (15%)</t>
        </is>
      </c>
      <c r="F1" s="10" t="inlineStr">
        <is>
          <t>地域性・独自性 (15%)</t>
        </is>
      </c>
      <c r="G1" s="10" t="inlineStr">
        <is>
          <t>コスパ (5%)</t>
        </is>
      </c>
      <c r="H1" s="10" t="inlineStr">
        <is>
          <t>合計点 (100点満点)</t>
        </is>
      </c>
      <c r="I1" s="10" t="inlineStr">
        <is>
          <t>備考・特徴</t>
        </is>
      </c>
    </row>
    <row r="2">
      <c r="A2" s="11" t="inlineStr">
        <is>
          <t>リッツ・カールトン編</t>
        </is>
      </c>
    </row>
    <row r="3">
      <c r="A3" s="10" t="inlineStr">
        <is>
          <t>リッツカールトン日光</t>
        </is>
      </c>
      <c r="B3" s="10" t="n">
        <v>5</v>
      </c>
      <c r="C3" s="10" t="n">
        <v>5</v>
      </c>
      <c r="D3" s="10" t="n">
        <v>5</v>
      </c>
      <c r="E3" s="10" t="n">
        <v>5</v>
      </c>
      <c r="F3" s="10" t="n">
        <v>5</v>
      </c>
      <c r="G3" s="10" t="n">
        <v>4</v>
      </c>
      <c r="H3" s="10">
        <f>(B3*0.25 + C3*0.2 + D3*0.2 + E3*0.15 + F3*0.15 + G3*0.05)*20</f>
        <v/>
      </c>
      <c r="I3" s="10" t="inlineStr">
        <is>
          <t>中禅寺湖を眺める静謐のひととき</t>
        </is>
      </c>
    </row>
    <row r="4">
      <c r="A4" s="9" t="inlineStr">
        <is>
          <t>リッツカールトン沖縄</t>
        </is>
      </c>
      <c r="B4" s="8" t="n">
        <v>4</v>
      </c>
      <c r="C4" s="8" t="n">
        <v>5</v>
      </c>
      <c r="D4" s="8" t="n">
        <v>5</v>
      </c>
      <c r="E4" s="8" t="n">
        <v>4</v>
      </c>
      <c r="F4" s="8" t="n">
        <v>5</v>
      </c>
      <c r="G4" s="8" t="n">
        <v>4</v>
      </c>
      <c r="H4" s="8">
        <f>(B4*0.25 + C4*0.2 + D4*0.2 + E4*0.15 + F4*0.15 + G4*0.05)*20</f>
        <v/>
      </c>
      <c r="I4" s="9" t="inlineStr">
        <is>
          <t>青と緑が調和する悠久の楽園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0" t="inlineStr">
        <is>
          <t>リッツカールトン京都</t>
        </is>
      </c>
      <c r="B5" s="10" t="n">
        <v>4</v>
      </c>
      <c r="C5" s="10" t="n">
        <v>4</v>
      </c>
      <c r="D5" s="10" t="n">
        <v>5</v>
      </c>
      <c r="E5" s="10" t="n">
        <v>5</v>
      </c>
      <c r="F5" s="10" t="n">
        <v>5</v>
      </c>
      <c r="G5" s="10" t="n">
        <v>3</v>
      </c>
      <c r="H5" s="10">
        <f>(B5*0.25 + C5*0.2 + D5*0.2 + E5*0.15 + F5*0.15 + G5*0.05)*20</f>
        <v/>
      </c>
      <c r="I5" s="10" t="inlineStr">
        <is>
          <t>鴨川沿いの贅と和の融合体験</t>
        </is>
      </c>
    </row>
    <row r="6">
      <c r="A6" s="10" t="inlineStr">
        <is>
          <t>リッツカールトン大阪</t>
        </is>
      </c>
      <c r="B6" s="10" t="n">
        <v>5</v>
      </c>
      <c r="C6" s="10" t="n">
        <v>4</v>
      </c>
      <c r="D6" s="10" t="n">
        <v>3</v>
      </c>
      <c r="E6" s="10" t="n">
        <v>5</v>
      </c>
      <c r="F6" s="10" t="n">
        <v>5</v>
      </c>
      <c r="G6" s="10" t="n">
        <v>5</v>
      </c>
      <c r="H6" s="10">
        <f>(B6*0.25 + C6*0.2 + D6*0.2 + E6*0.15 + F6*0.15 + G6*0.05)*20</f>
        <v/>
      </c>
      <c r="I6" s="10" t="inlineStr">
        <is>
          <t>伝統と芸術を感じる貴族の邸宅</t>
        </is>
      </c>
    </row>
    <row r="7">
      <c r="A7" s="10" t="inlineStr">
        <is>
          <t>リッツカールトン福岡</t>
        </is>
      </c>
      <c r="B7" s="10" t="n">
        <v>4</v>
      </c>
      <c r="C7" s="10" t="n">
        <v>5</v>
      </c>
      <c r="D7" s="10" t="n">
        <v>4</v>
      </c>
      <c r="E7" s="10" t="n">
        <v>5</v>
      </c>
      <c r="F7" s="10" t="n">
        <v>3</v>
      </c>
      <c r="G7" s="10" t="n">
        <v>4</v>
      </c>
      <c r="H7" s="10">
        <f>(B7*0.25 + C7*0.2 + D7*0.2 + E7*0.15 + F7*0.15 + G7*0.05)*20</f>
        <v/>
      </c>
      <c r="I7" s="10" t="inlineStr">
        <is>
          <t>天神に聳え立つ新たなる象徴</t>
        </is>
      </c>
    </row>
    <row r="8">
      <c r="A8" s="10" t="inlineStr">
        <is>
          <t>リッツカールトン東京</t>
        </is>
      </c>
      <c r="B8" s="10" t="n">
        <v>4</v>
      </c>
      <c r="C8" s="10" t="n">
        <v>4</v>
      </c>
      <c r="D8" s="10" t="n">
        <v>5</v>
      </c>
      <c r="E8" s="10" t="n">
        <v>4</v>
      </c>
      <c r="F8" s="10" t="n">
        <v>3</v>
      </c>
      <c r="G8" s="10" t="n">
        <v>3</v>
      </c>
      <c r="H8" s="10">
        <f>(B8*0.25 + C8*0.2 + D8*0.2 + E8*0.15 + F8*0.15 + G8*0.05)*20</f>
        <v/>
      </c>
      <c r="I8" s="10" t="inlineStr">
        <is>
          <t>都会の頂きに広がる至高の聖域</t>
        </is>
      </c>
    </row>
    <row r="10">
      <c r="A10" s="11" t="inlineStr">
        <is>
          <t>大阪編</t>
        </is>
      </c>
    </row>
    <row r="11">
      <c r="A11" s="10" t="inlineStr">
        <is>
          <t>ウォルドーフアストリア</t>
        </is>
      </c>
      <c r="B11" s="10" t="n">
        <v>5</v>
      </c>
      <c r="C11" s="10" t="n">
        <v>4</v>
      </c>
      <c r="D11" s="10" t="n">
        <v>5</v>
      </c>
      <c r="E11" s="10" t="n">
        <v>5</v>
      </c>
      <c r="F11" s="10" t="n">
        <v>4</v>
      </c>
      <c r="G11" s="10" t="n">
        <v>4</v>
      </c>
      <c r="H11" s="10">
        <f>(B11*0.25 + C11*0.2 + D11*0.2 + E11*0.15 + F11*0.15 + G11*0.05)*20</f>
        <v/>
      </c>
    </row>
    <row r="12">
      <c r="A12" s="10" t="inlineStr">
        <is>
          <t>リッツカールトン</t>
        </is>
      </c>
      <c r="B12" s="10" t="n">
        <v>5</v>
      </c>
      <c r="C12" s="10" t="n">
        <v>4</v>
      </c>
      <c r="D12" s="10" t="n">
        <v>3</v>
      </c>
      <c r="E12" s="10" t="n">
        <v>5</v>
      </c>
      <c r="F12" s="10" t="n">
        <v>5</v>
      </c>
      <c r="G12" s="10" t="n">
        <v>5</v>
      </c>
      <c r="H12" s="10">
        <f>(B12*0.25 + C12*0.2 + D12*0.2 + E12*0.15 + F12*0.15 + G12*0.05)*20</f>
        <v/>
      </c>
      <c r="I12" s="10" t="inlineStr">
        <is>
          <t>伝統と芸術を感じる貴族の邸宅</t>
        </is>
      </c>
    </row>
    <row r="13">
      <c r="A13" s="10" t="inlineStr">
        <is>
          <t>フォーシーズンズ</t>
        </is>
      </c>
      <c r="B13" s="10" t="n">
        <v>4</v>
      </c>
      <c r="C13" s="10" t="n">
        <v>5</v>
      </c>
      <c r="D13" s="10" t="n">
        <v>4</v>
      </c>
      <c r="E13" s="10" t="n">
        <v>5</v>
      </c>
      <c r="F13" s="10" t="n">
        <v>4</v>
      </c>
      <c r="G13" s="10" t="n">
        <v>4</v>
      </c>
      <c r="H13" s="10">
        <f>(B13*0.25 + C13*0.2 + D13*0.2 + E13*0.15 + F13*0.15 + G13*0.05)*20</f>
        <v/>
      </c>
    </row>
    <row r="14">
      <c r="A14" s="10" t="inlineStr">
        <is>
          <t>マリオット</t>
        </is>
      </c>
      <c r="B14" s="10" t="n">
        <v>4</v>
      </c>
      <c r="C14" s="10" t="n">
        <v>3</v>
      </c>
      <c r="D14" s="10" t="n">
        <v>5</v>
      </c>
      <c r="E14" s="10" t="n">
        <v>5</v>
      </c>
      <c r="F14" s="10" t="n">
        <v>3</v>
      </c>
      <c r="G14" s="10" t="n">
        <v>5</v>
      </c>
      <c r="H14" s="10">
        <f>(B14*0.25 + C14*0.2 + D14*0.2 + E14*0.15 + F14*0.15 + G14*0.05)*20</f>
        <v/>
      </c>
    </row>
    <row r="15">
      <c r="A15" s="10" t="inlineStr">
        <is>
          <t>インターコンチネンタル</t>
        </is>
      </c>
      <c r="B15" s="10" t="n">
        <v>4</v>
      </c>
      <c r="C15" s="10" t="n">
        <v>4</v>
      </c>
      <c r="D15" s="10" t="n">
        <v>4</v>
      </c>
      <c r="E15" s="10" t="n">
        <v>4</v>
      </c>
      <c r="F15" s="10" t="n">
        <v>4</v>
      </c>
      <c r="G15" s="10" t="n">
        <v>4</v>
      </c>
      <c r="H15" s="10">
        <f>(B15*0.25 + C15*0.2 + D15*0.2 + E15*0.15 + F15*0.15 + G15*0.05)*20</f>
        <v/>
      </c>
    </row>
    <row r="16">
      <c r="A16" s="10" t="inlineStr">
        <is>
          <t>ダブリュー</t>
        </is>
      </c>
      <c r="B16" s="10" t="n">
        <v>4</v>
      </c>
      <c r="C16" s="10" t="n">
        <v>3</v>
      </c>
      <c r="D16" s="10" t="n">
        <v>4</v>
      </c>
      <c r="E16" s="10" t="n">
        <v>4</v>
      </c>
      <c r="F16" s="10" t="n">
        <v>4</v>
      </c>
      <c r="G16" s="10" t="n">
        <v>4</v>
      </c>
      <c r="H16" s="10">
        <f>(B16*0.25 + C16*0.2 + D16*0.2 + E16*0.15 + F16*0.15 + G16*0.05)*20</f>
        <v/>
      </c>
    </row>
    <row r="17">
      <c r="A17" s="10" t="inlineStr">
        <is>
          <t>セントレジス</t>
        </is>
      </c>
      <c r="B17" s="10" t="n">
        <v>4</v>
      </c>
      <c r="C17" s="10" t="n">
        <v>3</v>
      </c>
      <c r="D17" s="10" t="n">
        <v>4</v>
      </c>
      <c r="E17" s="10" t="n">
        <v>5</v>
      </c>
      <c r="F17" s="10" t="n">
        <v>3</v>
      </c>
      <c r="G17" s="10" t="n">
        <v>4</v>
      </c>
      <c r="H17" s="10">
        <f>(B17*0.25 + C17*0.2 + D17*0.2 + E17*0.15 + F17*0.15 + G17*0.05)*20</f>
        <v/>
      </c>
    </row>
    <row r="18">
      <c r="A18" s="10" t="inlineStr">
        <is>
          <t>帝国</t>
        </is>
      </c>
      <c r="B18" s="10" t="n">
        <v>3</v>
      </c>
      <c r="C18" s="10" t="n">
        <v>5</v>
      </c>
      <c r="D18" s="10" t="n">
        <v>2</v>
      </c>
      <c r="E18" s="10" t="n">
        <v>3</v>
      </c>
      <c r="F18" s="10" t="n">
        <v>3</v>
      </c>
      <c r="G18" s="10" t="n">
        <v>5</v>
      </c>
      <c r="H18" s="10">
        <f>(B18*0.25 + C18*0.2 + D18*0.2 + E18*0.15 + F18*0.15 + G18*0.05)*20</f>
        <v/>
      </c>
    </row>
    <row r="19">
      <c r="A19" s="10" t="inlineStr">
        <is>
          <t>ニューオータニ</t>
        </is>
      </c>
      <c r="B19" s="10" t="n">
        <v>3</v>
      </c>
      <c r="C19" s="10" t="n">
        <v>3</v>
      </c>
      <c r="D19" s="10" t="n">
        <v>3</v>
      </c>
      <c r="E19" s="10" t="n">
        <v>3</v>
      </c>
      <c r="F19" s="10" t="n">
        <v>3</v>
      </c>
      <c r="G19" s="10" t="n">
        <v>5</v>
      </c>
      <c r="H19" s="10">
        <f>(B19*0.25 + C19*0.2 + D19*0.2 + E19*0.15 + F19*0.15 + G19*0.05)*20</f>
        <v/>
      </c>
    </row>
    <row r="20">
      <c r="A20" s="10" t="inlineStr">
        <is>
          <t>ホテル阪急</t>
        </is>
      </c>
      <c r="B20" s="10" t="n">
        <v>3</v>
      </c>
      <c r="C20" s="10" t="n">
        <v>3</v>
      </c>
      <c r="D20" s="10" t="n">
        <v>2</v>
      </c>
      <c r="E20" s="10" t="n">
        <v>3</v>
      </c>
      <c r="F20" s="10" t="n">
        <v>3</v>
      </c>
      <c r="G20" s="10" t="n">
        <v>5</v>
      </c>
      <c r="H20" s="10">
        <f>(B20*0.25 + C20*0.2 + D20*0.2 + E20*0.15 + F20*0.15 + G20*0.05)*20</f>
        <v/>
      </c>
    </row>
    <row r="22" ht="15.75" customHeight="1" s="12">
      <c r="A22" s="11" t="inlineStr">
        <is>
          <t>フォーシーズンズ編</t>
        </is>
      </c>
    </row>
    <row r="23" ht="15.75" customHeight="1" s="12">
      <c r="A23" s="10" t="inlineStr">
        <is>
          <t>フォーシーズンズ京都</t>
        </is>
      </c>
      <c r="B23" s="10" t="n">
        <v>5</v>
      </c>
      <c r="C23" s="10" t="n">
        <v>5</v>
      </c>
      <c r="D23" s="10" t="n">
        <v>4</v>
      </c>
      <c r="E23" s="10" t="n">
        <v>5</v>
      </c>
      <c r="F23" s="10" t="n">
        <v>5</v>
      </c>
      <c r="G23" s="10" t="n">
        <v>3</v>
      </c>
      <c r="H23" s="10">
        <f>(B23*0.25 + C23*0.2 + D23*0.2 + E23*0.15 + F23*0.15 + G23*0.05)*20</f>
        <v/>
      </c>
    </row>
    <row r="24" ht="15.75" customHeight="1" s="12">
      <c r="A24" s="10" t="inlineStr">
        <is>
          <t>フォーシーズンズ東京大手町</t>
        </is>
      </c>
      <c r="B24" s="10" t="n">
        <v>5</v>
      </c>
      <c r="C24" s="10" t="n">
        <v>4</v>
      </c>
      <c r="D24" s="10" t="n">
        <v>5</v>
      </c>
      <c r="E24" s="10" t="n">
        <v>5</v>
      </c>
      <c r="F24" s="10" t="n">
        <v>4</v>
      </c>
      <c r="G24" s="10" t="n">
        <v>3</v>
      </c>
      <c r="H24" s="10">
        <f>(B24*0.25 + C24*0.2 + D24*0.2 + E24*0.15 + F24*0.15 + G24*0.05)*20</f>
        <v/>
      </c>
    </row>
    <row r="25" ht="15.75" customHeight="1" s="12">
      <c r="A25" s="10" t="inlineStr">
        <is>
          <t>フォーシーズンズ大阪</t>
        </is>
      </c>
      <c r="B25" s="10" t="n">
        <v>4</v>
      </c>
      <c r="C25" s="10" t="n">
        <v>5</v>
      </c>
      <c r="D25" s="10" t="n">
        <v>4</v>
      </c>
      <c r="E25" s="10" t="n">
        <v>5</v>
      </c>
      <c r="F25" s="10" t="n">
        <v>4</v>
      </c>
      <c r="G25" s="10" t="n">
        <v>4</v>
      </c>
      <c r="H25" s="10">
        <f>(B25*0.25 + C25*0.2 + D25*0.2 + E25*0.15 + F25*0.15 + G25*0.05)*20</f>
        <v/>
      </c>
      <c r="I25" s="10" t="inlineStr">
        <is>
          <t>大阪の新たな象徴</t>
        </is>
      </c>
    </row>
    <row r="26" ht="15.75" customHeight="1" s="12"/>
    <row r="27" ht="15.75" customHeight="1" s="12">
      <c r="A27" s="11" t="inlineStr">
        <is>
          <t>香港編</t>
        </is>
      </c>
    </row>
    <row r="28" ht="15.75" customHeight="1" s="12">
      <c r="A28" s="10" t="inlineStr">
        <is>
          <t>ザ・ペニンシュラ香港</t>
        </is>
      </c>
      <c r="B28" s="10" t="n">
        <v>5</v>
      </c>
      <c r="C28" s="10" t="n">
        <v>5</v>
      </c>
      <c r="D28" s="10" t="n">
        <v>5</v>
      </c>
      <c r="E28" s="10" t="n">
        <v>4</v>
      </c>
      <c r="F28" s="10" t="n">
        <v>5</v>
      </c>
      <c r="G28" s="10" t="n">
        <v>3</v>
      </c>
      <c r="H28" s="10" t="n">
        <v>95</v>
      </c>
      <c r="I28" s="10" t="inlineStr">
        <is>
          <t>1928年創業、尖沙咀の顔とも言える老舗の風格（未宿泊・参考スコア）</t>
        </is>
      </c>
    </row>
    <row r="29" ht="15.75" customHeight="1" s="12">
      <c r="A29" s="10" t="inlineStr">
        <is>
          <t>マンダリンオリエンタル香港</t>
        </is>
      </c>
      <c r="B29" s="10" t="n">
        <v>5</v>
      </c>
      <c r="C29" s="10" t="n">
        <v>5</v>
      </c>
      <c r="D29" s="10" t="n">
        <v>5</v>
      </c>
      <c r="E29" s="10" t="n">
        <v>4</v>
      </c>
      <c r="F29" s="10" t="n">
        <v>5</v>
      </c>
      <c r="G29" s="10" t="n">
        <v>3</v>
      </c>
      <c r="H29" s="10" t="n">
        <v>95</v>
      </c>
      <c r="I29" s="10" t="inlineStr">
        <is>
          <t>1963年開業のブランド発祥ホテル、中環の顔（未宿泊・参考スコア）</t>
        </is>
      </c>
    </row>
    <row r="30" ht="15.75" customHeight="1" s="12">
      <c r="A30" s="10" t="inlineStr">
        <is>
          <t>ローズウッド香港</t>
        </is>
      </c>
      <c r="B30" s="10" t="n">
        <v>5</v>
      </c>
      <c r="C30" s="10" t="n">
        <v>5</v>
      </c>
      <c r="D30" s="10" t="n">
        <v>5</v>
      </c>
      <c r="E30" s="10" t="n">
        <v>5</v>
      </c>
      <c r="F30" s="10" t="n">
        <v>4</v>
      </c>
      <c r="G30" s="10" t="n">
        <v>2</v>
      </c>
      <c r="H30" s="10" t="n">
        <v>94</v>
      </c>
      <c r="I30" s="10" t="inlineStr">
        <is>
          <t>2019年開業、K11 MUSEA隣接のウォーターフロント最新鋭（未宿泊・参考スコア）</t>
        </is>
      </c>
    </row>
    <row r="31" ht="15.75" customHeight="1" s="12">
      <c r="A31" s="10" t="inlineStr">
        <is>
          <t>ジ・アッパーハウス</t>
        </is>
      </c>
      <c r="B31" s="10" t="n">
        <v>5</v>
      </c>
      <c r="C31" s="10" t="n">
        <v>4</v>
      </c>
      <c r="D31" s="10" t="n">
        <v>4</v>
      </c>
      <c r="E31" s="10" t="n">
        <v>5</v>
      </c>
      <c r="F31" s="10" t="n">
        <v>5</v>
      </c>
      <c r="G31" s="10" t="n">
        <v>3</v>
      </c>
      <c r="H31" s="10" t="n">
        <v>90</v>
      </c>
      <c r="I31" s="10" t="inlineStr">
        <is>
          <t>アドミラルティのオールスイート、アンドレ・フー設計（未宿泊・参考スコア）</t>
        </is>
      </c>
    </row>
    <row r="32" ht="15.75" customHeight="1" s="12">
      <c r="A32" s="10" t="inlineStr">
        <is>
          <t>ザ・リッツ・カールトン香港</t>
        </is>
      </c>
      <c r="B32" s="10" t="n">
        <v>5</v>
      </c>
      <c r="C32" s="10" t="n">
        <v>4</v>
      </c>
      <c r="D32" s="10" t="n">
        <v>4</v>
      </c>
      <c r="E32" s="10" t="n">
        <v>4</v>
      </c>
      <c r="F32" s="10" t="n">
        <v>4</v>
      </c>
      <c r="G32" s="10" t="n">
        <v>3</v>
      </c>
      <c r="H32" s="10" t="n">
        <v>84</v>
      </c>
      <c r="I32" s="10" t="inlineStr">
        <is>
          <t>ICCタワー102〜118階、世界一高い場所にあるホテル（未宿泊・参考スコア）</t>
        </is>
      </c>
    </row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  <row r="1001" ht="15.75" customHeight="1" s="1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2025-10-29T04:08:34Z</dcterms:created>
  <dcterms:modified xmlns:dcterms="http://purl.org/dc/terms/" xmlns:xsi="http://www.w3.org/2001/XMLSchema-instance" xsi:type="dcterms:W3CDTF">2026-09-22T13:51:21Z</dcterms:modified>
</cp:coreProperties>
</file>